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Task calculator" sheetId="2" r:id="rId6"/>
    <sheet state="visible" name="Results Key"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Think about it, how many minutes are you really spending a day on these task-- what does that add up to at the end of the week?</t>
      </text>
    </comment>
    <comment authorId="0" ref="E10">
      <text>
        <t xml:space="preserve">Think about it, how many minutes are you really spending a day on these task-- what does that add up to at the end of the week?</t>
      </text>
    </comment>
  </commentList>
</comments>
</file>

<file path=xl/sharedStrings.xml><?xml version="1.0" encoding="utf-8"?>
<sst xmlns="http://schemas.openxmlformats.org/spreadsheetml/2006/main" count="73" uniqueCount="72">
  <si>
    <r>
      <rPr>
        <rFont val="Roboto Slab"/>
        <color rgb="FF434343"/>
        <sz val="13.0"/>
      </rPr>
      <t xml:space="preserve">Hiring help can feel like a luxury, but when you actually look at the numbers, </t>
    </r>
    <r>
      <rPr>
        <rFont val="Roboto Slab"/>
        <b/>
        <color rgb="FF12D678"/>
        <sz val="13.0"/>
      </rPr>
      <t>not hiring help may be costing you more than you think.</t>
    </r>
    <r>
      <rPr>
        <rFont val="Roboto Slab"/>
        <color rgb="FF12D678"/>
        <sz val="13.0"/>
      </rPr>
      <t xml:space="preserve"> </t>
    </r>
    <r>
      <rPr>
        <rFont val="Roboto Slab"/>
        <color rgb="FF434343"/>
        <sz val="13.0"/>
      </rPr>
      <t xml:space="preserve">
We can tell you all day long how valuable your time is, but that will never compare to seeing it yourself. Calculate how much time and money you spend doing your own adminstrative tasks with this tool!</t>
    </r>
    <r>
      <rPr>
        <rFont val="Roboto Slab"/>
        <color theme="1"/>
        <sz val="13.0"/>
      </rPr>
      <t xml:space="preserve"> </t>
    </r>
  </si>
  <si>
    <t>Step 1</t>
  </si>
  <si>
    <t>Take a minute to think about the tasks that take up your average work week.</t>
  </si>
  <si>
    <t>Step 2</t>
  </si>
  <si>
    <t>Fill in your annual salary and your average hourly work week.</t>
  </si>
  <si>
    <t>Step 3</t>
  </si>
  <si>
    <t xml:space="preserve">Check out the common tasks a BELAY Executive Assistant could take off your plate. </t>
  </si>
  <si>
    <t>Step 4</t>
  </si>
  <si>
    <t>In the blue column, tell us how many hours you spend on each task weekly (be honest!)</t>
  </si>
  <si>
    <t>Step 5</t>
  </si>
  <si>
    <t xml:space="preserve">Check out the results — they might surprise you… </t>
  </si>
  <si>
    <t xml:space="preserve">Hiring help can feel like a luxury, but when you actually look at the numbers, not hiring help may be costing you more than you think. We can tell you all day long how valuable your time is, but that will never compare to seeing it yourself. Calculate how much time and money you spend doing your own adminstrative tasks with this tool! </t>
  </si>
  <si>
    <r>
      <rPr>
        <rFont val="Roboto"/>
        <b/>
        <color theme="1"/>
        <sz val="11.0"/>
      </rPr>
      <t xml:space="preserve">Step 1: </t>
    </r>
    <r>
      <rPr>
        <rFont val="Roboto"/>
        <color theme="1"/>
        <sz val="11.0"/>
      </rPr>
      <t xml:space="preserve">Take a minute to think about the tasks that take up your average work week. 
</t>
    </r>
    <r>
      <rPr>
        <rFont val="Roboto"/>
        <b/>
        <color theme="1"/>
        <sz val="11.0"/>
      </rPr>
      <t xml:space="preserve">Step 2: </t>
    </r>
    <r>
      <rPr>
        <rFont val="Roboto"/>
        <color theme="1"/>
        <sz val="11.0"/>
      </rPr>
      <t xml:space="preserve">Make a copy of this sheet!
</t>
    </r>
    <r>
      <rPr>
        <rFont val="Roboto"/>
        <b/>
        <color theme="1"/>
        <sz val="11.0"/>
      </rPr>
      <t xml:space="preserve">Step 3: </t>
    </r>
    <r>
      <rPr>
        <rFont val="Roboto"/>
        <color theme="1"/>
        <sz val="11.0"/>
      </rPr>
      <t xml:space="preserve">Fill in your annual salary and your average hourly work week.
</t>
    </r>
    <r>
      <rPr>
        <rFont val="Roboto"/>
        <b/>
        <color theme="1"/>
        <sz val="11.0"/>
      </rPr>
      <t>Step 4:</t>
    </r>
    <r>
      <rPr>
        <rFont val="Roboto"/>
        <color theme="1"/>
        <sz val="11.0"/>
      </rPr>
      <t xml:space="preserve"> Check out the common tasks a BELAY Virtual Assistant could take off your plate. 
</t>
    </r>
    <r>
      <rPr>
        <rFont val="Roboto"/>
        <b/>
        <color theme="1"/>
        <sz val="11.0"/>
      </rPr>
      <t>Step 5:</t>
    </r>
    <r>
      <rPr>
        <rFont val="Roboto"/>
        <color theme="1"/>
        <sz val="11.0"/>
      </rPr>
      <t xml:space="preserve"> In the blue column, tell us how many hours you spend on each task weekly (be honest!)
</t>
    </r>
    <r>
      <rPr>
        <rFont val="Roboto"/>
        <b/>
        <color theme="1"/>
        <sz val="11.0"/>
      </rPr>
      <t xml:space="preserve">Step 6: </t>
    </r>
    <r>
      <rPr>
        <rFont val="Roboto"/>
        <color theme="1"/>
        <sz val="11.0"/>
      </rPr>
      <t xml:space="preserve">Check out the results — they might surprise you… </t>
    </r>
  </si>
  <si>
    <t>Annual salary:</t>
  </si>
  <si>
    <t>How many hours a week do you work?</t>
  </si>
  <si>
    <t>True hourly rate</t>
  </si>
  <si>
    <t>Tasks</t>
  </si>
  <si>
    <t>How many hours are you spending on this task each week?</t>
  </si>
  <si>
    <t>Monthly cost</t>
  </si>
  <si>
    <t>Total hours each month</t>
  </si>
  <si>
    <t>Administrative</t>
  </si>
  <si>
    <t>Review, sort, and manage inbox</t>
  </si>
  <si>
    <t>Calendar &amp; schedule management</t>
  </si>
  <si>
    <t>Project assistance, research, and reporting</t>
  </si>
  <si>
    <t>Meeting confirmation, preparation, and notes</t>
  </si>
  <si>
    <t>Travel coordination</t>
  </si>
  <si>
    <t>Event planning and coordination</t>
  </si>
  <si>
    <t>Checking and responding to voicemails</t>
  </si>
  <si>
    <t>Time sensitive tasks follow up</t>
  </si>
  <si>
    <t>Employee pre-screening and interviewing</t>
  </si>
  <si>
    <t>Operational</t>
  </si>
  <si>
    <t>CRM management and updating</t>
  </si>
  <si>
    <t>Project coordination</t>
  </si>
  <si>
    <t>Client/customer intake, onboarding, and communication</t>
  </si>
  <si>
    <t>HR-related tasks</t>
  </si>
  <si>
    <t>Project management assistance</t>
  </si>
  <si>
    <t>Industry research</t>
  </si>
  <si>
    <t>Report generation</t>
  </si>
  <si>
    <t>Data analysis</t>
  </si>
  <si>
    <t>Financial</t>
  </si>
  <si>
    <t>Completing and submitting expense reporting</t>
  </si>
  <si>
    <t>Vendor research and management</t>
  </si>
  <si>
    <t>Sending and following up with invoices</t>
  </si>
  <si>
    <t>Billing disputes</t>
  </si>
  <si>
    <t>Running memorized financial reports</t>
  </si>
  <si>
    <t>Invoicing</t>
  </si>
  <si>
    <t>Personal</t>
  </si>
  <si>
    <t>Gift purchases</t>
  </si>
  <si>
    <t>Send personal cards</t>
  </si>
  <si>
    <t>Set personal appointments</t>
  </si>
  <si>
    <t>Vendor research</t>
  </si>
  <si>
    <t>Vacation planning</t>
  </si>
  <si>
    <t>Marketing</t>
  </si>
  <si>
    <t>Schedule pre-written &amp; pre-approved social media content</t>
  </si>
  <si>
    <t>Manage social calendar &amp; library</t>
  </si>
  <si>
    <t>eNewsletters, blogs &amp; eBlasts</t>
  </si>
  <si>
    <t>Responding to social media posts</t>
  </si>
  <si>
    <t>Compile free or licensed stock photos</t>
  </si>
  <si>
    <t xml:space="preserve">Hours on task each month: </t>
  </si>
  <si>
    <t xml:space="preserve">What does this time cost you each month? </t>
  </si>
  <si>
    <t xml:space="preserve">What does this time cost you each year? </t>
  </si>
  <si>
    <r>
      <rPr>
        <rFont val="Roboto"/>
        <color rgb="FFFFFFFF"/>
        <sz val="13.0"/>
      </rPr>
      <t xml:space="preserve">We said it might surprise you. If you're ready to reclaim those hours and that salary, </t>
    </r>
    <r>
      <rPr>
        <rFont val="Roboto"/>
        <b/>
        <color rgb="FF12D678"/>
        <sz val="13.0"/>
        <u/>
      </rPr>
      <t>schedule a call today</t>
    </r>
    <r>
      <rPr>
        <rFont val="Roboto"/>
        <b/>
        <color rgb="FF12D678"/>
        <sz val="13.0"/>
      </rPr>
      <t>!</t>
    </r>
  </si>
  <si>
    <t>Hours spent each month</t>
  </si>
  <si>
    <t>Costs each month</t>
  </si>
  <si>
    <t>30 -</t>
  </si>
  <si>
    <t>$1,000 -</t>
  </si>
  <si>
    <t>31-45</t>
  </si>
  <si>
    <t>$1,001-2,000</t>
  </si>
  <si>
    <t>46- 55</t>
  </si>
  <si>
    <t>$2,001- $3,500</t>
  </si>
  <si>
    <t xml:space="preserve">55+ </t>
  </si>
  <si>
    <t>$3,501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</si>
</sst>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17">
    <font>
      <sz val="10.0"/>
      <color rgb="FF000000"/>
      <name val="Arial"/>
      <scheme val="minor"/>
    </font>
    <font>
      <color theme="1"/>
      <name val="Arial"/>
      <scheme val="minor"/>
    </font>
    <font/>
    <font>
      <sz val="12.0"/>
      <color theme="1"/>
      <name val="Roboto Slab"/>
    </font>
    <font>
      <b/>
      <color theme="1"/>
      <name val="Source Sans Pro"/>
    </font>
    <font>
      <color theme="1"/>
      <name val="Source Sans Pro"/>
    </font>
    <font>
      <sz val="11.0"/>
      <color theme="1"/>
      <name val="Roboto"/>
    </font>
    <font>
      <color theme="1"/>
      <name val="Roboto"/>
    </font>
    <font>
      <b/>
      <sz val="11.0"/>
      <color theme="1"/>
      <name val="Roboto"/>
    </font>
    <font>
      <b/>
      <color theme="1"/>
      <name val="Roboto"/>
    </font>
    <font>
      <color rgb="FF000000"/>
      <name val="Roboto"/>
    </font>
    <font>
      <sz val="10.0"/>
      <color theme="1"/>
      <name val="Roboto"/>
    </font>
    <font>
      <sz val="10.0"/>
      <color rgb="FF212529"/>
      <name val="Roboto"/>
    </font>
    <font>
      <sz val="10.0"/>
      <color rgb="FF000000"/>
      <name val="Roboto"/>
    </font>
    <font>
      <b/>
      <sz val="12.0"/>
      <color theme="1"/>
      <name val="Roboto"/>
    </font>
    <font>
      <u/>
      <sz val="15.0"/>
      <color rgb="FFFFFFFF"/>
      <name val="Roboto"/>
    </font>
    <font>
      <sz val="11.0"/>
      <color theme="1"/>
      <name val="Roboto Slab"/>
    </font>
  </fonts>
  <fills count="15">
    <fill>
      <patternFill patternType="none"/>
    </fill>
    <fill>
      <patternFill patternType="lightGray"/>
    </fill>
    <fill>
      <patternFill patternType="solid">
        <fgColor rgb="FF02293D"/>
        <bgColor rgb="FF02293D"/>
      </patternFill>
    </fill>
    <fill>
      <patternFill patternType="solid">
        <fgColor rgb="FFF3F3F3"/>
        <bgColor rgb="FFF3F3F3"/>
      </patternFill>
    </fill>
    <fill>
      <patternFill patternType="solid">
        <fgColor rgb="FF666666"/>
        <bgColor rgb="FF666666"/>
      </patternFill>
    </fill>
    <fill>
      <patternFill patternType="solid">
        <fgColor rgb="FFB7E1CD"/>
        <bgColor rgb="FFB7E1CD"/>
      </patternFill>
    </fill>
    <fill>
      <patternFill patternType="solid">
        <fgColor rgb="FFCCCCCC"/>
        <bgColor rgb="FFCCCCCC"/>
      </patternFill>
    </fill>
    <fill>
      <patternFill patternType="solid">
        <fgColor rgb="FF12D678"/>
        <bgColor rgb="FF12D678"/>
      </patternFill>
    </fill>
    <fill>
      <patternFill patternType="solid">
        <fgColor rgb="FFEFEFEF"/>
        <bgColor rgb="FFEFEFEF"/>
      </patternFill>
    </fill>
    <fill>
      <patternFill patternType="solid">
        <fgColor rgb="FFFFFFFF"/>
        <bgColor rgb="FFFFFFFF"/>
      </patternFill>
    </fill>
    <fill>
      <patternFill patternType="solid">
        <fgColor rgb="FFD9D9D9"/>
        <bgColor rgb="FFD9D9D9"/>
      </patternFill>
    </fill>
    <fill>
      <patternFill patternType="solid">
        <fgColor theme="0"/>
        <bgColor theme="0"/>
      </patternFill>
    </fill>
    <fill>
      <patternFill patternType="solid">
        <fgColor rgb="FFF0F081"/>
        <bgColor rgb="FFF0F081"/>
      </patternFill>
    </fill>
    <fill>
      <patternFill patternType="solid">
        <fgColor rgb="FFECCE74"/>
        <bgColor rgb="FFECCE74"/>
      </patternFill>
    </fill>
    <fill>
      <patternFill patternType="solid">
        <fgColor rgb="FFFC6565"/>
        <bgColor rgb="FFFC6565"/>
      </patternFill>
    </fill>
  </fills>
  <borders count="42">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D9D9D9"/>
      </left>
      <right style="thin">
        <color rgb="FFD9D9D9"/>
      </right>
      <top style="thin">
        <color rgb="FFD9D9D9"/>
      </top>
      <bottom style="thin">
        <color rgb="FFD9D9D9"/>
      </bottom>
    </border>
    <border>
      <left style="thin">
        <color rgb="FFF3F3F3"/>
      </left>
      <right style="thin">
        <color rgb="FFF3F3F3"/>
      </right>
      <top style="thin">
        <color rgb="FFF3F3F3"/>
      </top>
      <bottom style="thin">
        <color rgb="FFF3F3F3"/>
      </bottom>
    </border>
    <border>
      <left style="thin">
        <color rgb="FFF3F3F3"/>
      </left>
      <top style="thin">
        <color rgb="FFF3F3F3"/>
      </top>
      <bottom style="thin">
        <color rgb="FFF3F3F3"/>
      </bottom>
    </border>
    <border>
      <top style="thin">
        <color rgb="FFF3F3F3"/>
      </top>
      <bottom style="thin">
        <color rgb="FFF3F3F3"/>
      </bottom>
    </border>
    <border>
      <right style="thin">
        <color rgb="FFF3F3F3"/>
      </right>
      <top style="thin">
        <color rgb="FFF3F3F3"/>
      </top>
      <bottom style="thin">
        <color rgb="FFF3F3F3"/>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FFFFFF"/>
      </left>
      <right style="thin">
        <color rgb="FFFFFFFF"/>
      </right>
      <top style="thin">
        <color rgb="FFFFFFFF"/>
      </top>
      <bottom style="thin">
        <color rgb="FFFFFFFF"/>
      </bottom>
    </border>
    <border>
      <left style="thin">
        <color rgb="FFB7B7B7"/>
      </left>
      <top style="thin">
        <color rgb="FFB7B7B7"/>
      </top>
    </border>
    <border>
      <right style="thin">
        <color rgb="FFFFFFFF"/>
      </right>
      <top style="thin">
        <color rgb="FFB7B7B7"/>
      </top>
    </border>
    <border>
      <left style="thin">
        <color rgb="FF999999"/>
      </left>
      <right style="thin">
        <color rgb="FF999999"/>
      </right>
      <top style="thin">
        <color rgb="FFB7B7B7"/>
      </top>
      <bottom style="thin">
        <color rgb="FF999999"/>
      </bottom>
    </border>
    <border>
      <top style="thin">
        <color rgb="FFB7B7B7"/>
      </top>
    </border>
    <border>
      <left style="thin">
        <color rgb="FF999999"/>
      </left>
      <right style="thin">
        <color rgb="FF999999"/>
      </right>
      <top style="thin">
        <color rgb="FF999999"/>
      </top>
      <bottom style="thin">
        <color rgb="FF999999"/>
      </bottom>
    </border>
    <border>
      <left style="thin">
        <color rgb="FFB7B7B7"/>
      </left>
      <right style="thin">
        <color rgb="FFFFFFFF"/>
      </right>
      <top style="thin">
        <color rgb="FF999999"/>
      </top>
    </border>
    <border>
      <left style="thin">
        <color rgb="FFFFFFFF"/>
      </left>
      <top style="thin">
        <color rgb="FF999999"/>
      </top>
    </border>
    <border>
      <top style="thin">
        <color rgb="FF999999"/>
      </top>
    </border>
    <border>
      <right style="thin">
        <color rgb="FFB7B7B7"/>
      </right>
    </border>
    <border>
      <left style="thin">
        <color rgb="FFB7B7B7"/>
      </left>
      <right style="thin">
        <color rgb="FFFFFFFF"/>
      </right>
    </border>
    <border>
      <left style="thin">
        <color rgb="FFFFFFFF"/>
      </left>
    </border>
    <border>
      <right style="thin">
        <color rgb="FF999999"/>
      </right>
    </border>
    <border>
      <left style="thin">
        <color rgb="FFB7B7B7"/>
      </left>
      <right style="thin">
        <color rgb="FFFFFFFF"/>
      </right>
      <bottom style="thin">
        <color rgb="FFB7B7B7"/>
      </bottom>
    </border>
    <border>
      <left style="thin">
        <color rgb="FFFFFFFF"/>
      </left>
      <bottom style="thin">
        <color rgb="FFB7B7B7"/>
      </bottom>
    </border>
    <border>
      <bottom style="thin">
        <color rgb="FFB7B7B7"/>
      </bottom>
    </border>
    <border>
      <right style="thin">
        <color rgb="FFB7B7B7"/>
      </right>
      <bottom style="thin">
        <color rgb="FFB7B7B7"/>
      </bottom>
    </border>
    <border>
      <left style="thin">
        <color rgb="FF000000"/>
      </left>
      <right style="thin">
        <color rgb="FFFFFFFF"/>
      </right>
    </border>
    <border>
      <left style="thin">
        <color rgb="FF000000"/>
      </left>
      <right style="thin">
        <color rgb="FFFFFFFF"/>
      </right>
      <bottom style="thin">
        <color rgb="FF999999"/>
      </bottom>
    </border>
    <border>
      <right style="thin">
        <color rgb="FF999999"/>
      </right>
      <top style="thin">
        <color rgb="FF999999"/>
      </top>
    </border>
    <border>
      <right style="thin">
        <color rgb="FFFFFFFF"/>
      </right>
      <top style="thin">
        <color rgb="FF999999"/>
      </top>
    </border>
    <border>
      <right style="thin">
        <color rgb="FFFFFFFF"/>
      </right>
    </border>
    <border>
      <right style="thin">
        <color rgb="FFFFFFFF"/>
      </right>
      <bottom style="thin">
        <color rgb="FF999999"/>
      </bottom>
    </border>
    <border>
      <left style="thin">
        <color rgb="FFB7B7B7"/>
      </left>
      <right style="thin">
        <color rgb="FFFFFFFF"/>
      </right>
      <bottom style="thin">
        <color rgb="FF999999"/>
      </bottom>
    </border>
    <border>
      <bottom style="thin">
        <color rgb="FF999999"/>
      </bottom>
    </border>
    <border>
      <right style="thin">
        <color rgb="FF999999"/>
      </right>
      <bottom style="thin">
        <color rgb="FF999999"/>
      </bottom>
    </border>
    <border>
      <bottom style="thin">
        <color rgb="FF434343"/>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1" fillId="0" fontId="3" numFmtId="0" xfId="0" applyAlignment="1" applyBorder="1" applyFont="1">
      <alignment horizontal="left" readingOrder="0" shrinkToFit="0" vertical="center" wrapText="1"/>
    </xf>
    <xf borderId="7" fillId="0" fontId="1" numFmtId="0" xfId="0" applyBorder="1" applyFont="1"/>
    <xf borderId="8" fillId="3" fontId="4" numFmtId="0" xfId="0" applyAlignment="1" applyBorder="1" applyFill="1" applyFont="1">
      <alignment readingOrder="0" vertical="center"/>
    </xf>
    <xf borderId="9" fillId="3" fontId="5" numFmtId="0" xfId="0" applyAlignment="1" applyBorder="1" applyFont="1">
      <alignment readingOrder="0" vertical="center"/>
    </xf>
    <xf borderId="10" fillId="0" fontId="2" numFmtId="0" xfId="0" applyBorder="1" applyFont="1"/>
    <xf borderId="11" fillId="0" fontId="2" numFmtId="0" xfId="0" applyBorder="1" applyFont="1"/>
    <xf borderId="0" fillId="4" fontId="1" numFmtId="0" xfId="0" applyFill="1" applyFont="1"/>
    <xf borderId="0" fillId="0" fontId="6" numFmtId="0" xfId="0" applyAlignment="1" applyFont="1">
      <alignment horizontal="center" readingOrder="0" shrinkToFit="0" wrapText="1"/>
    </xf>
    <xf borderId="0" fillId="0" fontId="7" numFmtId="0" xfId="0" applyFont="1"/>
    <xf borderId="12" fillId="0" fontId="8" numFmtId="0" xfId="0" applyAlignment="1" applyBorder="1" applyFont="1">
      <alignment horizontal="center" readingOrder="0" shrinkToFit="0" vertical="center" wrapText="1"/>
    </xf>
    <xf borderId="13" fillId="0" fontId="2" numFmtId="0" xfId="0" applyBorder="1" applyFont="1"/>
    <xf borderId="14" fillId="0" fontId="2" numFmtId="0" xfId="0" applyBorder="1" applyFont="1"/>
    <xf borderId="12" fillId="0" fontId="6" numFmtId="0" xfId="0" applyAlignment="1" applyBorder="1" applyFont="1">
      <alignment horizontal="left" readingOrder="0" shrinkToFit="0" vertical="center" wrapText="1"/>
    </xf>
    <xf borderId="0" fillId="2" fontId="7" numFmtId="0" xfId="0" applyAlignment="1" applyFont="1">
      <alignment horizontal="right" readingOrder="0"/>
    </xf>
    <xf borderId="0" fillId="2" fontId="7" numFmtId="164" xfId="0" applyAlignment="1" applyFont="1" applyNumberFormat="1">
      <alignment readingOrder="0"/>
    </xf>
    <xf borderId="0" fillId="2" fontId="7" numFmtId="0" xfId="0" applyFont="1"/>
    <xf borderId="0" fillId="0" fontId="7" numFmtId="0" xfId="0" applyAlignment="1" applyFont="1">
      <alignment horizontal="right" readingOrder="0"/>
    </xf>
    <xf borderId="0" fillId="0" fontId="7" numFmtId="164" xfId="0" applyAlignment="1" applyFont="1" applyNumberFormat="1">
      <alignment readingOrder="0"/>
    </xf>
    <xf borderId="0" fillId="0" fontId="9" numFmtId="0" xfId="0" applyAlignment="1" applyFont="1">
      <alignment horizontal="right" readingOrder="0"/>
    </xf>
    <xf borderId="15" fillId="5" fontId="10" numFmtId="164" xfId="0" applyAlignment="1" applyBorder="1" applyFill="1" applyFont="1" applyNumberFormat="1">
      <alignment readingOrder="0"/>
    </xf>
    <xf borderId="15" fillId="5" fontId="10" numFmtId="4" xfId="0" applyAlignment="1" applyBorder="1" applyFont="1" applyNumberFormat="1">
      <alignment readingOrder="0"/>
    </xf>
    <xf borderId="0" fillId="0" fontId="9" numFmtId="165" xfId="0" applyFont="1" applyNumberFormat="1"/>
    <xf borderId="0" fillId="0" fontId="9" numFmtId="0" xfId="0" applyAlignment="1" applyFont="1">
      <alignment readingOrder="0" shrinkToFit="0" wrapText="1"/>
    </xf>
    <xf borderId="0" fillId="0" fontId="7" numFmtId="0" xfId="0" applyAlignment="1" applyFont="1">
      <alignment readingOrder="0" shrinkToFit="0" wrapText="1"/>
    </xf>
    <xf borderId="0" fillId="0" fontId="7" numFmtId="0" xfId="0" applyAlignment="1" applyFont="1">
      <alignment shrinkToFit="0" wrapText="1"/>
    </xf>
    <xf borderId="16" fillId="6" fontId="9" numFmtId="0" xfId="0" applyAlignment="1" applyBorder="1" applyFill="1" applyFont="1">
      <alignment horizontal="center" readingOrder="0" shrinkToFit="0" vertical="center" wrapText="1"/>
    </xf>
    <xf borderId="17" fillId="0" fontId="2" numFmtId="0" xfId="0" applyBorder="1" applyFont="1"/>
    <xf borderId="18" fillId="6" fontId="9" numFmtId="0" xfId="0" applyAlignment="1" applyBorder="1" applyFont="1">
      <alignment horizontal="center" readingOrder="0" shrinkToFit="0" vertical="center" wrapText="1"/>
    </xf>
    <xf borderId="19" fillId="6" fontId="9" numFmtId="0" xfId="0" applyAlignment="1" applyBorder="1" applyFont="1">
      <alignment readingOrder="0" shrinkToFit="0" wrapText="1"/>
    </xf>
    <xf borderId="20" fillId="6" fontId="9" numFmtId="0" xfId="0" applyAlignment="1" applyBorder="1" applyFont="1">
      <alignment horizontal="center" readingOrder="0" shrinkToFit="0" vertical="center" wrapText="1"/>
    </xf>
    <xf borderId="21" fillId="7" fontId="8" numFmtId="0" xfId="0" applyAlignment="1" applyBorder="1" applyFill="1" applyFont="1">
      <alignment horizontal="center" readingOrder="0" shrinkToFit="0" textRotation="90" vertical="center" wrapText="1"/>
    </xf>
    <xf borderId="22" fillId="3" fontId="11" numFmtId="0" xfId="0" applyAlignment="1" applyBorder="1" applyFont="1">
      <alignment readingOrder="0"/>
    </xf>
    <xf borderId="0" fillId="5" fontId="10" numFmtId="4" xfId="0" applyAlignment="1" applyFont="1" applyNumberFormat="1">
      <alignment horizontal="center" readingOrder="0"/>
    </xf>
    <xf borderId="23" fillId="3" fontId="7" numFmtId="165" xfId="0" applyAlignment="1" applyBorder="1" applyFont="1" applyNumberFormat="1">
      <alignment horizontal="center"/>
    </xf>
    <xf borderId="24" fillId="8" fontId="7" numFmtId="1" xfId="0" applyAlignment="1" applyBorder="1" applyFill="1" applyFont="1" applyNumberFormat="1">
      <alignment horizontal="center"/>
    </xf>
    <xf borderId="25" fillId="0" fontId="2" numFmtId="0" xfId="0" applyBorder="1" applyFont="1"/>
    <xf borderId="26" fillId="9" fontId="12" numFmtId="0" xfId="0" applyAlignment="1" applyBorder="1" applyFill="1" applyFont="1">
      <alignment horizontal="left" readingOrder="0"/>
    </xf>
    <xf borderId="0" fillId="9" fontId="7" numFmtId="165" xfId="0" applyAlignment="1" applyFont="1" applyNumberFormat="1">
      <alignment horizontal="center"/>
    </xf>
    <xf borderId="27" fillId="9" fontId="7" numFmtId="1" xfId="0" applyAlignment="1" applyBorder="1" applyFont="1" applyNumberFormat="1">
      <alignment horizontal="center"/>
    </xf>
    <xf borderId="0" fillId="3" fontId="11" numFmtId="0" xfId="0" applyAlignment="1" applyFont="1">
      <alignment readingOrder="0"/>
    </xf>
    <xf borderId="0" fillId="3" fontId="7" numFmtId="165" xfId="0" applyAlignment="1" applyFont="1" applyNumberFormat="1">
      <alignment horizontal="center"/>
    </xf>
    <xf borderId="0" fillId="9" fontId="7" numFmtId="0" xfId="0" applyFont="1"/>
    <xf borderId="0" fillId="9" fontId="11" numFmtId="0" xfId="0" applyAlignment="1" applyFont="1">
      <alignment readingOrder="0"/>
    </xf>
    <xf borderId="24" fillId="9" fontId="7" numFmtId="1" xfId="0" applyAlignment="1" applyBorder="1" applyFont="1" applyNumberFormat="1">
      <alignment horizontal="center"/>
    </xf>
    <xf borderId="28" fillId="0" fontId="2" numFmtId="0" xfId="0" applyBorder="1" applyFont="1"/>
    <xf borderId="29" fillId="3" fontId="13" numFmtId="0" xfId="0" applyAlignment="1" applyBorder="1" applyFont="1">
      <alignment horizontal="left" readingOrder="0"/>
    </xf>
    <xf borderId="30" fillId="5" fontId="10" numFmtId="4" xfId="0" applyAlignment="1" applyBorder="1" applyFont="1" applyNumberFormat="1">
      <alignment horizontal="center" readingOrder="0"/>
    </xf>
    <xf borderId="30" fillId="3" fontId="7" numFmtId="165" xfId="0" applyAlignment="1" applyBorder="1" applyFont="1" applyNumberFormat="1">
      <alignment horizontal="center"/>
    </xf>
    <xf borderId="31" fillId="8" fontId="7" numFmtId="1" xfId="0" applyAlignment="1" applyBorder="1" applyFont="1" applyNumberFormat="1">
      <alignment horizontal="center"/>
    </xf>
    <xf borderId="32" fillId="7" fontId="8" numFmtId="0" xfId="0" applyAlignment="1" applyBorder="1" applyFont="1">
      <alignment horizontal="center" readingOrder="0" shrinkToFit="0" textRotation="90" vertical="center" wrapText="1"/>
    </xf>
    <xf borderId="0" fillId="8" fontId="11" numFmtId="0" xfId="0" applyAlignment="1" applyFont="1">
      <alignment readingOrder="0"/>
    </xf>
    <xf borderId="0" fillId="3" fontId="7" numFmtId="165" xfId="0" applyAlignment="1" applyFont="1" applyNumberFormat="1">
      <alignment horizontal="center"/>
    </xf>
    <xf borderId="27" fillId="8" fontId="7" numFmtId="1" xfId="0" applyAlignment="1" applyBorder="1" applyFont="1" applyNumberFormat="1">
      <alignment horizontal="center"/>
    </xf>
    <xf borderId="32" fillId="0" fontId="2" numFmtId="0" xfId="0" applyBorder="1" applyFont="1"/>
    <xf borderId="27" fillId="3" fontId="7" numFmtId="1" xfId="0" applyAlignment="1" applyBorder="1" applyFont="1" applyNumberFormat="1">
      <alignment horizontal="center"/>
    </xf>
    <xf borderId="0" fillId="3" fontId="12" numFmtId="0" xfId="0" applyAlignment="1" applyFont="1">
      <alignment horizontal="left" readingOrder="0"/>
    </xf>
    <xf borderId="0" fillId="9" fontId="12" numFmtId="0" xfId="0" applyAlignment="1" applyFont="1">
      <alignment horizontal="left" readingOrder="0"/>
    </xf>
    <xf borderId="33" fillId="0" fontId="2" numFmtId="0" xfId="0" applyBorder="1" applyFont="1"/>
    <xf borderId="25" fillId="7" fontId="8" numFmtId="0" xfId="0" applyAlignment="1" applyBorder="1" applyFont="1">
      <alignment horizontal="center" readingOrder="0" textRotation="90" vertical="center"/>
    </xf>
    <xf borderId="23" fillId="8" fontId="11" numFmtId="0" xfId="0" applyAlignment="1" applyBorder="1" applyFont="1">
      <alignment readingOrder="0"/>
    </xf>
    <xf borderId="23" fillId="5" fontId="10" numFmtId="4" xfId="0" applyAlignment="1" applyBorder="1" applyFont="1" applyNumberFormat="1">
      <alignment horizontal="center" readingOrder="0"/>
    </xf>
    <xf borderId="23" fillId="10" fontId="7" numFmtId="165" xfId="0" applyAlignment="1" applyBorder="1" applyFill="1" applyFont="1" applyNumberFormat="1">
      <alignment horizontal="center"/>
    </xf>
    <xf borderId="34" fillId="8" fontId="7" numFmtId="1" xfId="0" applyAlignment="1" applyBorder="1" applyFont="1" applyNumberFormat="1">
      <alignment horizontal="center"/>
    </xf>
    <xf borderId="0" fillId="10" fontId="7" numFmtId="165" xfId="0" applyAlignment="1" applyFont="1" applyNumberFormat="1">
      <alignment horizontal="center"/>
    </xf>
    <xf borderId="0" fillId="8" fontId="12" numFmtId="0" xfId="0" applyAlignment="1" applyFont="1">
      <alignment horizontal="left" readingOrder="0"/>
    </xf>
    <xf borderId="35" fillId="7" fontId="8" numFmtId="0" xfId="0" applyAlignment="1" applyBorder="1" applyFont="1">
      <alignment horizontal="center" readingOrder="0" textRotation="90" vertical="center"/>
    </xf>
    <xf borderId="23" fillId="9" fontId="12" numFmtId="0" xfId="0" applyAlignment="1" applyBorder="1" applyFont="1">
      <alignment horizontal="left" readingOrder="0"/>
    </xf>
    <xf borderId="23" fillId="9" fontId="7" numFmtId="165" xfId="0" applyAlignment="1" applyBorder="1" applyFont="1" applyNumberFormat="1">
      <alignment horizontal="center"/>
    </xf>
    <xf borderId="34" fillId="9" fontId="7" numFmtId="1" xfId="0" applyAlignment="1" applyBorder="1" applyFont="1" applyNumberFormat="1">
      <alignment horizontal="center"/>
    </xf>
    <xf borderId="36" fillId="0" fontId="2" numFmtId="0" xfId="0" applyBorder="1" applyFont="1"/>
    <xf borderId="37" fillId="0" fontId="2" numFmtId="0" xfId="0" applyBorder="1" applyFont="1"/>
    <xf borderId="21" fillId="7" fontId="8" numFmtId="0" xfId="0" applyAlignment="1" applyBorder="1" applyFont="1">
      <alignment horizontal="center" readingOrder="0" textRotation="90" vertical="center"/>
    </xf>
    <xf borderId="23" fillId="3" fontId="7" numFmtId="165" xfId="0" applyAlignment="1" applyBorder="1" applyFont="1" applyNumberFormat="1">
      <alignment horizontal="center"/>
    </xf>
    <xf borderId="34" fillId="3" fontId="7" numFmtId="1" xfId="0" applyAlignment="1" applyBorder="1" applyFont="1" applyNumberFormat="1">
      <alignment horizontal="center"/>
    </xf>
    <xf borderId="38" fillId="0" fontId="2" numFmtId="0" xfId="0" applyBorder="1" applyFont="1"/>
    <xf borderId="39" fillId="8" fontId="12" numFmtId="0" xfId="0" applyAlignment="1" applyBorder="1" applyFont="1">
      <alignment horizontal="left" readingOrder="0"/>
    </xf>
    <xf borderId="39" fillId="5" fontId="10" numFmtId="4" xfId="0" applyAlignment="1" applyBorder="1" applyFont="1" applyNumberFormat="1">
      <alignment horizontal="center" readingOrder="0"/>
    </xf>
    <xf borderId="39" fillId="3" fontId="7" numFmtId="165" xfId="0" applyAlignment="1" applyBorder="1" applyFont="1" applyNumberFormat="1">
      <alignment horizontal="center"/>
    </xf>
    <xf borderId="40" fillId="8" fontId="7" numFmtId="1" xfId="0" applyAlignment="1" applyBorder="1" applyFont="1" applyNumberFormat="1">
      <alignment horizontal="center"/>
    </xf>
    <xf borderId="0" fillId="11" fontId="7" numFmtId="0" xfId="0" applyAlignment="1" applyFill="1" applyFont="1">
      <alignment readingOrder="0"/>
    </xf>
    <xf borderId="0" fillId="11" fontId="7" numFmtId="0" xfId="0" applyAlignment="1" applyFont="1">
      <alignment horizontal="center" readingOrder="0"/>
    </xf>
    <xf borderId="0" fillId="11" fontId="7" numFmtId="0" xfId="0" applyAlignment="1" applyFont="1">
      <alignment horizontal="center"/>
    </xf>
    <xf borderId="0" fillId="0" fontId="9" numFmtId="0" xfId="0" applyFont="1"/>
    <xf borderId="0" fillId="0" fontId="9" numFmtId="4" xfId="0" applyFont="1" applyNumberFormat="1"/>
    <xf borderId="0" fillId="0" fontId="9" numFmtId="0" xfId="0" applyAlignment="1" applyFont="1">
      <alignment horizontal="center" readingOrder="0"/>
    </xf>
    <xf borderId="0" fillId="6" fontId="14" numFmtId="0" xfId="0" applyAlignment="1" applyFont="1">
      <alignment horizontal="right" readingOrder="0" shrinkToFit="0" vertical="center" wrapText="1"/>
    </xf>
    <xf borderId="0" fillId="7" fontId="14" numFmtId="4" xfId="0" applyAlignment="1" applyFont="1" applyNumberFormat="1">
      <alignment horizontal="center" vertical="center"/>
    </xf>
    <xf borderId="0" fillId="9" fontId="14" numFmtId="165" xfId="0" applyFont="1" applyNumberFormat="1"/>
    <xf borderId="0" fillId="11" fontId="14" numFmtId="0" xfId="0" applyFont="1"/>
    <xf borderId="0" fillId="11" fontId="9" numFmtId="0" xfId="0" applyAlignment="1" applyFont="1">
      <alignment horizontal="right" readingOrder="0" shrinkToFit="0" wrapText="1"/>
    </xf>
    <xf borderId="0" fillId="7" fontId="14" numFmtId="165" xfId="0" applyAlignment="1" applyFont="1" applyNumberFormat="1">
      <alignment horizontal="center" vertical="center"/>
    </xf>
    <xf borderId="0" fillId="2" fontId="15" numFmtId="0" xfId="0" applyAlignment="1" applyFont="1">
      <alignment horizontal="center" readingOrder="0" shrinkToFit="0" vertical="center" wrapText="1"/>
    </xf>
    <xf borderId="0" fillId="2" fontId="1" numFmtId="0" xfId="0" applyFont="1"/>
    <xf borderId="0" fillId="9" fontId="1" numFmtId="0" xfId="0" applyFont="1"/>
    <xf borderId="0" fillId="9" fontId="16" numFmtId="0" xfId="0" applyAlignment="1" applyFont="1">
      <alignment readingOrder="0" vertical="center"/>
    </xf>
    <xf borderId="41" fillId="3" fontId="16" numFmtId="0" xfId="0" applyAlignment="1" applyBorder="1" applyFont="1">
      <alignment readingOrder="0" vertical="center"/>
    </xf>
    <xf borderId="0" fillId="5" fontId="1" numFmtId="0" xfId="0" applyAlignment="1" applyFont="1">
      <alignment readingOrder="0" vertical="center"/>
    </xf>
    <xf borderId="0" fillId="5" fontId="1" numFmtId="164" xfId="0" applyAlignment="1" applyFont="1" applyNumberFormat="1">
      <alignment readingOrder="0" vertical="center"/>
    </xf>
    <xf borderId="0" fillId="12" fontId="1" numFmtId="0" xfId="0" applyAlignment="1" applyFill="1" applyFont="1">
      <alignment readingOrder="0" vertical="center"/>
    </xf>
    <xf borderId="0" fillId="13" fontId="1" numFmtId="0" xfId="0" applyAlignment="1" applyFill="1" applyFont="1">
      <alignment readingOrder="0" vertical="center"/>
    </xf>
    <xf borderId="0" fillId="14" fontId="1" numFmtId="0" xfId="0" applyAlignment="1" applyFill="1" applyFont="1">
      <alignment readingOrder="0" vertical="center"/>
    </xf>
    <xf borderId="0" fillId="0" fontId="1" numFmtId="0" xfId="0" applyAlignment="1" applyFont="1">
      <alignment vertical="center"/>
    </xf>
  </cellXfs>
  <cellStyles count="1">
    <cellStyle xfId="0" name="Normal" builtinId="0"/>
  </cellStyles>
  <dxfs count="8">
    <dxf>
      <font/>
      <fill>
        <patternFill patternType="none"/>
      </fill>
      <border/>
    </dxf>
    <dxf>
      <font/>
      <fill>
        <patternFill patternType="solid">
          <fgColor rgb="FFD9D9D9"/>
          <bgColor rgb="FFD9D9D9"/>
        </patternFill>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B7E1CD"/>
          <bgColor rgb="FFB7E1CD"/>
        </patternFill>
      </fill>
      <border/>
    </dxf>
    <dxf>
      <font/>
      <fill>
        <patternFill patternType="solid">
          <fgColor rgb="FFFFFF00"/>
          <bgColor rgb="FFFFFF00"/>
        </patternFill>
      </fill>
      <border/>
    </dxf>
    <dxf>
      <font/>
      <fill>
        <patternFill patternType="solid">
          <fgColor rgb="FFFBBC04"/>
          <bgColor rgb="FFFBBC04"/>
        </patternFill>
      </fill>
      <border/>
    </dxf>
    <dxf>
      <font/>
      <fill>
        <patternFill patternType="solid">
          <fgColor rgb="FFFF0000"/>
          <bgColor rgb="FFFF0000"/>
        </patternFill>
      </fill>
      <border/>
    </dxf>
  </dxfs>
  <tableStyles count="3">
    <tableStyle count="2" pivot="0" name="Task calculator-style">
      <tableStyleElement dxfId="1" type="firstRowStripe"/>
      <tableStyleElement dxfId="2" type="secondRowStripe"/>
    </tableStyle>
    <tableStyle count="2" pivot="0" name="Task calculator-style 2">
      <tableStyleElement dxfId="3" type="firstRowStripe"/>
      <tableStyleElement dxfId="2" type="secondRowStripe"/>
    </tableStyle>
    <tableStyle count="2" pivot="0" name="Task calculator-style 3">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0</xdr:row>
      <xdr:rowOff>142875</xdr:rowOff>
    </xdr:from>
    <xdr:ext cx="1933575" cy="323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3</xdr:row>
      <xdr:rowOff>123825</xdr:rowOff>
    </xdr:from>
    <xdr:ext cx="1933575" cy="323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0</xdr:row>
      <xdr:rowOff>133350</xdr:rowOff>
    </xdr:from>
    <xdr:ext cx="1933575" cy="323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11:E19" displayName="Table_1" name="Table_1" id="1">
  <tableColumns count="4">
    <tableColumn name="Column1" id="1"/>
    <tableColumn name="Column2" id="2"/>
    <tableColumn name="Column3" id="3"/>
    <tableColumn name="Column4" id="4"/>
  </tableColumns>
  <tableStyleInfo name="Task calculator-style" showColumnStripes="0" showFirstColumn="1" showLastColumn="1" showRowStripes="1"/>
</table>
</file>

<file path=xl/tables/table2.xml><?xml version="1.0" encoding="utf-8"?>
<table xmlns="http://schemas.openxmlformats.org/spreadsheetml/2006/main" headerRowCount="0" ref="B20:E27" displayName="Table_2" name="Table_2" id="2">
  <tableColumns count="4">
    <tableColumn name="Column1" id="1"/>
    <tableColumn name="Column2" id="2"/>
    <tableColumn name="Column3" id="3"/>
    <tableColumn name="Column4" id="4"/>
  </tableColumns>
  <tableStyleInfo name="Task calculator-style 2" showColumnStripes="0" showFirstColumn="1" showLastColumn="1" showRowStripes="1"/>
</table>
</file>

<file path=xl/tables/table3.xml><?xml version="1.0" encoding="utf-8"?>
<table xmlns="http://schemas.openxmlformats.org/spreadsheetml/2006/main" headerRowCount="0" ref="B28:E45" displayName="Table_3" name="Table_3" id="3">
  <tableColumns count="4">
    <tableColumn name="Column1" id="1"/>
    <tableColumn name="Column2" id="2"/>
    <tableColumn name="Column3" id="3"/>
    <tableColumn name="Column4" id="4"/>
  </tableColumns>
  <tableStyleInfo name="Task calculator-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belaysolutions.com/get-started/" TargetMode="External"/><Relationship Id="rId3" Type="http://schemas.openxmlformats.org/officeDocument/2006/relationships/drawing" Target="../drawings/drawing2.xml"/><Relationship Id="rId4" Type="http://schemas.openxmlformats.org/officeDocument/2006/relationships/vmlDrawing" Target="../drawings/vmlDrawing1.vml"/><Relationship Id="rId10" Type="http://schemas.openxmlformats.org/officeDocument/2006/relationships/table" Target="../tables/table3.xml"/><Relationship Id="rId9" Type="http://schemas.openxmlformats.org/officeDocument/2006/relationships/table" Target="../tables/table2.xml"/><Relationship Id="rId8"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5" max="5" width="13.5"/>
    <col customWidth="1" min="6" max="6" width="13.63"/>
  </cols>
  <sheetData>
    <row r="1">
      <c r="A1" s="1"/>
      <c r="B1" s="2"/>
      <c r="C1" s="2"/>
      <c r="D1" s="2"/>
      <c r="E1" s="2"/>
      <c r="F1" s="3"/>
    </row>
    <row r="2" ht="33.75" customHeight="1">
      <c r="A2" s="4"/>
      <c r="B2" s="5"/>
      <c r="C2" s="5"/>
      <c r="D2" s="5"/>
      <c r="E2" s="5"/>
      <c r="F2" s="6"/>
    </row>
    <row r="3" ht="153.75" customHeight="1">
      <c r="A3" s="7" t="s">
        <v>0</v>
      </c>
      <c r="B3" s="2"/>
      <c r="C3" s="2"/>
      <c r="D3" s="2"/>
      <c r="E3" s="2"/>
      <c r="F3" s="3"/>
      <c r="G3" s="8"/>
    </row>
    <row r="4" ht="24.0" customHeight="1">
      <c r="A4" s="9" t="s">
        <v>1</v>
      </c>
      <c r="B4" s="10" t="s">
        <v>2</v>
      </c>
      <c r="C4" s="11"/>
      <c r="D4" s="11"/>
      <c r="E4" s="11"/>
      <c r="F4" s="12"/>
    </row>
    <row r="5" ht="24.0" customHeight="1">
      <c r="A5" s="9" t="s">
        <v>3</v>
      </c>
      <c r="B5" s="10" t="s">
        <v>4</v>
      </c>
      <c r="C5" s="11"/>
      <c r="D5" s="11"/>
      <c r="E5" s="11"/>
      <c r="F5" s="12"/>
    </row>
    <row r="6" ht="22.5" customHeight="1">
      <c r="A6" s="9" t="s">
        <v>5</v>
      </c>
      <c r="B6" s="10" t="s">
        <v>6</v>
      </c>
      <c r="C6" s="11"/>
      <c r="D6" s="11"/>
      <c r="E6" s="11"/>
      <c r="F6" s="12"/>
    </row>
    <row r="7" ht="22.5" customHeight="1">
      <c r="A7" s="9" t="s">
        <v>7</v>
      </c>
      <c r="B7" s="10" t="s">
        <v>8</v>
      </c>
      <c r="C7" s="11"/>
      <c r="D7" s="11"/>
      <c r="E7" s="11"/>
      <c r="F7" s="12"/>
    </row>
    <row r="8" ht="21.75" customHeight="1">
      <c r="A8" s="9" t="s">
        <v>9</v>
      </c>
      <c r="B8" s="10" t="s">
        <v>10</v>
      </c>
      <c r="C8" s="11"/>
      <c r="D8" s="11"/>
      <c r="E8" s="11"/>
      <c r="F8" s="12"/>
    </row>
    <row r="9">
      <c r="A9" s="13"/>
      <c r="B9" s="13"/>
      <c r="C9" s="13"/>
      <c r="D9" s="13"/>
      <c r="E9" s="13"/>
      <c r="F9" s="13"/>
    </row>
  </sheetData>
  <mergeCells count="7">
    <mergeCell ref="A1:F2"/>
    <mergeCell ref="A3:F3"/>
    <mergeCell ref="B4:F4"/>
    <mergeCell ref="B5:F5"/>
    <mergeCell ref="B6:F6"/>
    <mergeCell ref="B7:F7"/>
    <mergeCell ref="B8: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25"/>
    <col customWidth="1" min="2" max="2" width="45.5"/>
    <col customWidth="1" min="3" max="3" width="17.63"/>
    <col customWidth="1" hidden="1" min="4" max="4" width="0.63"/>
  </cols>
  <sheetData>
    <row r="1" ht="38.25" hidden="1" customHeight="1">
      <c r="A1" s="14"/>
      <c r="F1" s="15"/>
      <c r="G1" s="15"/>
      <c r="H1" s="15"/>
      <c r="I1" s="15"/>
      <c r="J1" s="15"/>
      <c r="K1" s="15"/>
      <c r="L1" s="15"/>
      <c r="M1" s="15"/>
      <c r="N1" s="15"/>
      <c r="O1" s="15"/>
      <c r="P1" s="15"/>
      <c r="Q1" s="15"/>
      <c r="R1" s="15"/>
      <c r="S1" s="15"/>
      <c r="T1" s="15"/>
      <c r="U1" s="15"/>
      <c r="V1" s="15"/>
      <c r="W1" s="15"/>
      <c r="X1" s="15"/>
      <c r="Y1" s="15"/>
      <c r="Z1" s="15"/>
    </row>
    <row r="2" ht="60.0" hidden="1" customHeight="1">
      <c r="A2" s="16" t="s">
        <v>11</v>
      </c>
      <c r="B2" s="17"/>
      <c r="C2" s="17"/>
      <c r="D2" s="17"/>
      <c r="E2" s="18"/>
      <c r="F2" s="15"/>
      <c r="G2" s="15"/>
      <c r="H2" s="15"/>
      <c r="I2" s="15"/>
      <c r="J2" s="15"/>
      <c r="K2" s="15"/>
      <c r="L2" s="15"/>
      <c r="M2" s="15"/>
      <c r="N2" s="15"/>
      <c r="O2" s="15"/>
      <c r="P2" s="15"/>
      <c r="Q2" s="15"/>
      <c r="R2" s="15"/>
      <c r="S2" s="15"/>
      <c r="T2" s="15"/>
      <c r="U2" s="15"/>
      <c r="V2" s="15"/>
      <c r="W2" s="15"/>
      <c r="X2" s="15"/>
      <c r="Y2" s="15"/>
      <c r="Z2" s="15"/>
    </row>
    <row r="3" ht="96.0" hidden="1" customHeight="1">
      <c r="A3" s="19" t="s">
        <v>12</v>
      </c>
      <c r="B3" s="17"/>
      <c r="C3" s="17"/>
      <c r="D3" s="17"/>
      <c r="E3" s="18"/>
      <c r="F3" s="15"/>
      <c r="G3" s="15"/>
      <c r="H3" s="15"/>
      <c r="I3" s="15"/>
      <c r="J3" s="15"/>
      <c r="K3" s="15"/>
      <c r="L3" s="15"/>
      <c r="M3" s="15"/>
      <c r="N3" s="15"/>
      <c r="O3" s="15"/>
      <c r="P3" s="15"/>
      <c r="Q3" s="15"/>
      <c r="R3" s="15"/>
      <c r="S3" s="15"/>
      <c r="T3" s="15"/>
      <c r="U3" s="15"/>
      <c r="V3" s="15"/>
      <c r="W3" s="15"/>
      <c r="X3" s="15"/>
      <c r="Y3" s="15"/>
      <c r="Z3" s="15"/>
    </row>
    <row r="4" ht="46.5" customHeight="1">
      <c r="A4" s="20"/>
      <c r="B4" s="20"/>
      <c r="C4" s="21"/>
      <c r="D4" s="22"/>
      <c r="E4" s="22"/>
      <c r="F4" s="15"/>
      <c r="G4" s="15"/>
      <c r="H4" s="15"/>
      <c r="I4" s="15"/>
      <c r="J4" s="15"/>
      <c r="K4" s="15"/>
      <c r="L4" s="15"/>
      <c r="M4" s="15"/>
      <c r="N4" s="15"/>
      <c r="O4" s="15"/>
      <c r="P4" s="15"/>
      <c r="Q4" s="15"/>
      <c r="R4" s="15"/>
      <c r="S4" s="15"/>
      <c r="T4" s="15"/>
      <c r="U4" s="15"/>
      <c r="V4" s="15"/>
      <c r="W4" s="15"/>
      <c r="X4" s="15"/>
      <c r="Y4" s="15"/>
      <c r="Z4" s="15"/>
    </row>
    <row r="5" ht="9.75" customHeight="1">
      <c r="A5" s="23"/>
      <c r="B5" s="23"/>
      <c r="C5" s="24"/>
      <c r="D5" s="15"/>
      <c r="E5" s="15"/>
      <c r="F5" s="15"/>
      <c r="G5" s="15"/>
      <c r="H5" s="15"/>
      <c r="I5" s="15"/>
      <c r="J5" s="15"/>
      <c r="K5" s="15"/>
      <c r="L5" s="15"/>
      <c r="M5" s="15"/>
      <c r="N5" s="15"/>
      <c r="O5" s="15"/>
      <c r="P5" s="15"/>
      <c r="Q5" s="15"/>
      <c r="R5" s="15"/>
      <c r="S5" s="15"/>
      <c r="T5" s="15"/>
      <c r="U5" s="15"/>
      <c r="V5" s="15"/>
      <c r="W5" s="15"/>
      <c r="X5" s="15"/>
      <c r="Y5" s="15"/>
      <c r="Z5" s="15"/>
    </row>
    <row r="6">
      <c r="A6" s="25" t="s">
        <v>13</v>
      </c>
      <c r="C6" s="26">
        <v>250000.0</v>
      </c>
      <c r="D6" s="15"/>
      <c r="E6" s="15"/>
      <c r="F6" s="15"/>
      <c r="G6" s="15"/>
      <c r="H6" s="15"/>
      <c r="I6" s="15"/>
      <c r="J6" s="15"/>
      <c r="K6" s="15"/>
      <c r="L6" s="15"/>
      <c r="M6" s="15"/>
      <c r="N6" s="15"/>
      <c r="O6" s="15"/>
      <c r="P6" s="15"/>
      <c r="Q6" s="15"/>
      <c r="R6" s="15"/>
      <c r="S6" s="15"/>
      <c r="T6" s="15"/>
      <c r="U6" s="15"/>
      <c r="V6" s="15"/>
      <c r="W6" s="15"/>
      <c r="X6" s="15"/>
      <c r="Y6" s="15"/>
      <c r="Z6" s="15"/>
    </row>
    <row r="7">
      <c r="A7" s="25" t="s">
        <v>14</v>
      </c>
      <c r="C7" s="27">
        <v>55.0</v>
      </c>
      <c r="D7" s="15"/>
      <c r="E7" s="15"/>
      <c r="F7" s="15"/>
      <c r="G7" s="15"/>
      <c r="H7" s="15"/>
      <c r="I7" s="15"/>
      <c r="J7" s="15"/>
      <c r="K7" s="15"/>
      <c r="L7" s="15"/>
      <c r="M7" s="15"/>
      <c r="N7" s="15"/>
      <c r="O7" s="15"/>
      <c r="P7" s="15"/>
      <c r="Q7" s="15"/>
      <c r="R7" s="15"/>
      <c r="S7" s="15"/>
      <c r="T7" s="15"/>
      <c r="U7" s="15"/>
      <c r="V7" s="15"/>
      <c r="W7" s="15"/>
      <c r="X7" s="15"/>
      <c r="Y7" s="15"/>
      <c r="Z7" s="15"/>
    </row>
    <row r="8" hidden="1">
      <c r="A8" s="25" t="s">
        <v>15</v>
      </c>
      <c r="C8" s="28">
        <f>(C6/52)/C7</f>
        <v>87.41258741</v>
      </c>
      <c r="D8" s="15"/>
      <c r="E8" s="15"/>
      <c r="F8" s="15"/>
      <c r="G8" s="15"/>
      <c r="H8" s="15"/>
      <c r="I8" s="15"/>
      <c r="J8" s="15"/>
      <c r="K8" s="15"/>
      <c r="L8" s="15"/>
      <c r="M8" s="15"/>
      <c r="N8" s="15"/>
      <c r="O8" s="15"/>
      <c r="P8" s="15"/>
      <c r="Q8" s="15"/>
      <c r="R8" s="15"/>
      <c r="S8" s="15"/>
      <c r="T8" s="15"/>
      <c r="U8" s="15"/>
      <c r="V8" s="15"/>
      <c r="W8" s="15"/>
      <c r="X8" s="15"/>
      <c r="Y8" s="15"/>
      <c r="Z8" s="15"/>
    </row>
    <row r="9" ht="10.5" customHeight="1">
      <c r="A9" s="29"/>
      <c r="B9" s="29"/>
      <c r="C9" s="30"/>
      <c r="D9" s="30"/>
      <c r="E9" s="30"/>
      <c r="F9" s="31"/>
      <c r="G9" s="31"/>
      <c r="H9" s="31"/>
      <c r="I9" s="31"/>
      <c r="J9" s="31"/>
      <c r="K9" s="31"/>
      <c r="L9" s="31"/>
      <c r="M9" s="31"/>
      <c r="N9" s="31"/>
      <c r="O9" s="31"/>
      <c r="P9" s="31"/>
      <c r="Q9" s="31"/>
      <c r="R9" s="31"/>
      <c r="S9" s="31"/>
      <c r="T9" s="31"/>
      <c r="U9" s="31"/>
      <c r="V9" s="31"/>
      <c r="W9" s="31"/>
      <c r="X9" s="31"/>
      <c r="Y9" s="31"/>
      <c r="Z9" s="31"/>
    </row>
    <row r="10">
      <c r="A10" s="32" t="s">
        <v>16</v>
      </c>
      <c r="B10" s="33"/>
      <c r="C10" s="34" t="s">
        <v>17</v>
      </c>
      <c r="D10" s="35" t="s">
        <v>18</v>
      </c>
      <c r="E10" s="36" t="s">
        <v>19</v>
      </c>
      <c r="F10" s="31"/>
      <c r="G10" s="31"/>
      <c r="H10" s="31"/>
      <c r="I10" s="31"/>
      <c r="J10" s="31"/>
      <c r="K10" s="31"/>
      <c r="L10" s="31"/>
      <c r="M10" s="31"/>
      <c r="N10" s="31"/>
      <c r="O10" s="31"/>
      <c r="P10" s="31"/>
      <c r="Q10" s="31"/>
      <c r="R10" s="31"/>
      <c r="S10" s="31"/>
      <c r="T10" s="31"/>
      <c r="U10" s="31"/>
      <c r="V10" s="31"/>
      <c r="W10" s="31"/>
      <c r="X10" s="31"/>
      <c r="Y10" s="31"/>
      <c r="Z10" s="31"/>
    </row>
    <row r="11">
      <c r="A11" s="37" t="s">
        <v>20</v>
      </c>
      <c r="B11" s="38" t="s">
        <v>21</v>
      </c>
      <c r="C11" s="39">
        <v>0.0</v>
      </c>
      <c r="D11" s="40">
        <f>(4.2*C11)*C8</f>
        <v>0</v>
      </c>
      <c r="E11" s="41">
        <f t="shared" ref="E11:E44" si="1">C11*4.2</f>
        <v>0</v>
      </c>
      <c r="F11" s="15"/>
      <c r="G11" s="15"/>
      <c r="H11" s="15"/>
      <c r="I11" s="15"/>
      <c r="J11" s="15"/>
      <c r="K11" s="15"/>
      <c r="L11" s="15"/>
      <c r="M11" s="15"/>
      <c r="N11" s="15"/>
      <c r="O11" s="15"/>
      <c r="P11" s="15"/>
      <c r="Q11" s="15"/>
      <c r="R11" s="15"/>
      <c r="S11" s="15"/>
      <c r="T11" s="15"/>
      <c r="U11" s="15"/>
      <c r="V11" s="15"/>
      <c r="W11" s="15"/>
      <c r="X11" s="15"/>
      <c r="Y11" s="15"/>
      <c r="Z11" s="15"/>
    </row>
    <row r="12">
      <c r="A12" s="42"/>
      <c r="B12" s="43" t="s">
        <v>22</v>
      </c>
      <c r="C12" s="39">
        <v>0.0</v>
      </c>
      <c r="D12" s="44">
        <f t="shared" ref="D12:D13" si="2">(4.2*C12)*C7</f>
        <v>0</v>
      </c>
      <c r="E12" s="45">
        <f t="shared" si="1"/>
        <v>0</v>
      </c>
      <c r="F12" s="15"/>
      <c r="G12" s="15"/>
      <c r="H12" s="15"/>
      <c r="I12" s="15"/>
      <c r="J12" s="15"/>
      <c r="K12" s="15"/>
      <c r="L12" s="15"/>
      <c r="M12" s="15"/>
      <c r="N12" s="15"/>
      <c r="O12" s="15"/>
      <c r="P12" s="15"/>
      <c r="Q12" s="15"/>
      <c r="R12" s="15"/>
      <c r="S12" s="15"/>
      <c r="T12" s="15"/>
      <c r="U12" s="15"/>
      <c r="V12" s="15"/>
      <c r="W12" s="15"/>
      <c r="X12" s="15"/>
      <c r="Y12" s="15"/>
      <c r="Z12" s="15"/>
    </row>
    <row r="13">
      <c r="A13" s="42"/>
      <c r="B13" s="46" t="s">
        <v>23</v>
      </c>
      <c r="C13" s="39">
        <v>0.0</v>
      </c>
      <c r="D13" s="47">
        <f t="shared" si="2"/>
        <v>0</v>
      </c>
      <c r="E13" s="41">
        <f t="shared" si="1"/>
        <v>0</v>
      </c>
      <c r="F13" s="15"/>
      <c r="G13" s="48"/>
      <c r="H13" s="15"/>
      <c r="I13" s="15"/>
      <c r="J13" s="15"/>
      <c r="K13" s="15"/>
      <c r="L13" s="15"/>
      <c r="M13" s="15"/>
      <c r="N13" s="15"/>
      <c r="O13" s="15"/>
      <c r="P13" s="15"/>
      <c r="Q13" s="15"/>
      <c r="R13" s="15"/>
      <c r="S13" s="15"/>
      <c r="T13" s="15"/>
      <c r="U13" s="15"/>
      <c r="V13" s="15"/>
      <c r="W13" s="15"/>
      <c r="X13" s="15"/>
      <c r="Y13" s="15"/>
      <c r="Z13" s="15"/>
    </row>
    <row r="14">
      <c r="A14" s="42"/>
      <c r="B14" s="49" t="s">
        <v>24</v>
      </c>
      <c r="C14" s="39">
        <v>0.0</v>
      </c>
      <c r="D14" s="44">
        <f>(C14*4.2)*C8</f>
        <v>0</v>
      </c>
      <c r="E14" s="50">
        <f t="shared" si="1"/>
        <v>0</v>
      </c>
      <c r="F14" s="15"/>
      <c r="G14" s="15"/>
      <c r="H14" s="15"/>
      <c r="I14" s="15"/>
      <c r="J14" s="15"/>
      <c r="K14" s="15"/>
      <c r="L14" s="15"/>
      <c r="M14" s="15"/>
      <c r="N14" s="15"/>
      <c r="O14" s="15"/>
      <c r="P14" s="15"/>
      <c r="Q14" s="15"/>
      <c r="R14" s="15"/>
      <c r="S14" s="15"/>
      <c r="T14" s="15"/>
      <c r="U14" s="15"/>
      <c r="V14" s="15"/>
      <c r="W14" s="15"/>
      <c r="X14" s="15"/>
      <c r="Y14" s="15"/>
      <c r="Z14" s="15"/>
    </row>
    <row r="15">
      <c r="A15" s="42"/>
      <c r="B15" s="46" t="s">
        <v>25</v>
      </c>
      <c r="C15" s="39">
        <v>0.0</v>
      </c>
      <c r="D15" s="47">
        <f>(4.2*C15)*C8</f>
        <v>0</v>
      </c>
      <c r="E15" s="41">
        <f t="shared" si="1"/>
        <v>0</v>
      </c>
      <c r="F15" s="15"/>
      <c r="G15" s="15"/>
      <c r="H15" s="15"/>
      <c r="I15" s="15"/>
      <c r="J15" s="15"/>
      <c r="K15" s="15"/>
      <c r="L15" s="15"/>
      <c r="M15" s="15"/>
      <c r="N15" s="15"/>
      <c r="O15" s="15"/>
      <c r="P15" s="15"/>
      <c r="Q15" s="15"/>
      <c r="R15" s="15"/>
      <c r="S15" s="15"/>
      <c r="T15" s="15"/>
      <c r="U15" s="15"/>
      <c r="V15" s="15"/>
      <c r="W15" s="15"/>
      <c r="X15" s="15"/>
      <c r="Y15" s="15"/>
      <c r="Z15" s="15"/>
    </row>
    <row r="16">
      <c r="A16" s="42"/>
      <c r="B16" s="49" t="s">
        <v>26</v>
      </c>
      <c r="C16" s="39">
        <v>0.0</v>
      </c>
      <c r="D16" s="44">
        <f>(4.2*C16)*C8</f>
        <v>0</v>
      </c>
      <c r="E16" s="50">
        <f t="shared" si="1"/>
        <v>0</v>
      </c>
      <c r="F16" s="15"/>
      <c r="G16" s="15"/>
      <c r="H16" s="15"/>
      <c r="I16" s="15"/>
      <c r="J16" s="15"/>
      <c r="K16" s="15"/>
      <c r="L16" s="15"/>
      <c r="M16" s="15"/>
      <c r="N16" s="15"/>
      <c r="O16" s="15"/>
      <c r="P16" s="15"/>
      <c r="Q16" s="15"/>
      <c r="R16" s="15"/>
      <c r="S16" s="15"/>
      <c r="T16" s="15"/>
      <c r="U16" s="15"/>
      <c r="V16" s="15"/>
      <c r="W16" s="15"/>
      <c r="X16" s="15"/>
      <c r="Y16" s="15"/>
      <c r="Z16" s="15"/>
    </row>
    <row r="17">
      <c r="A17" s="42"/>
      <c r="B17" s="46" t="s">
        <v>27</v>
      </c>
      <c r="C17" s="39">
        <v>0.0</v>
      </c>
      <c r="D17" s="47">
        <f>(4.2*C17)*C8</f>
        <v>0</v>
      </c>
      <c r="E17" s="41">
        <f t="shared" si="1"/>
        <v>0</v>
      </c>
      <c r="F17" s="15"/>
      <c r="G17" s="15"/>
      <c r="H17" s="15"/>
      <c r="I17" s="15"/>
      <c r="J17" s="15"/>
      <c r="K17" s="15"/>
      <c r="L17" s="15"/>
      <c r="M17" s="15"/>
      <c r="N17" s="15"/>
      <c r="O17" s="15"/>
      <c r="P17" s="15"/>
      <c r="Q17" s="15"/>
      <c r="R17" s="15"/>
      <c r="S17" s="15"/>
      <c r="T17" s="15"/>
      <c r="U17" s="15"/>
      <c r="V17" s="15"/>
      <c r="W17" s="15"/>
      <c r="X17" s="15"/>
      <c r="Y17" s="15"/>
      <c r="Z17" s="15"/>
    </row>
    <row r="18">
      <c r="A18" s="42"/>
      <c r="B18" s="49" t="s">
        <v>28</v>
      </c>
      <c r="C18" s="39">
        <v>0.0</v>
      </c>
      <c r="D18" s="44">
        <f>(4.2*C18)*C8</f>
        <v>0</v>
      </c>
      <c r="E18" s="50">
        <f t="shared" si="1"/>
        <v>0</v>
      </c>
      <c r="F18" s="15"/>
      <c r="G18" s="15"/>
      <c r="H18" s="15"/>
      <c r="I18" s="15"/>
      <c r="J18" s="15"/>
      <c r="K18" s="15"/>
      <c r="L18" s="15"/>
      <c r="M18" s="15"/>
      <c r="N18" s="15"/>
      <c r="O18" s="15"/>
      <c r="P18" s="15"/>
      <c r="Q18" s="15"/>
      <c r="R18" s="15"/>
      <c r="S18" s="15"/>
      <c r="T18" s="15"/>
      <c r="U18" s="15"/>
      <c r="V18" s="15"/>
      <c r="W18" s="15"/>
      <c r="X18" s="15"/>
      <c r="Y18" s="15"/>
      <c r="Z18" s="15"/>
    </row>
    <row r="19">
      <c r="A19" s="51"/>
      <c r="B19" s="52" t="s">
        <v>29</v>
      </c>
      <c r="C19" s="53">
        <v>0.0</v>
      </c>
      <c r="D19" s="54">
        <f>(4.2*C19)*C8</f>
        <v>0</v>
      </c>
      <c r="E19" s="55">
        <f t="shared" si="1"/>
        <v>0</v>
      </c>
      <c r="F19" s="15"/>
      <c r="G19" s="15"/>
      <c r="H19" s="15"/>
      <c r="I19" s="15"/>
      <c r="J19" s="15"/>
      <c r="K19" s="15"/>
      <c r="L19" s="15"/>
      <c r="M19" s="15"/>
      <c r="N19" s="15"/>
      <c r="O19" s="15"/>
      <c r="P19" s="15"/>
      <c r="Q19" s="15"/>
      <c r="R19" s="15"/>
      <c r="S19" s="15"/>
      <c r="T19" s="15"/>
      <c r="U19" s="15"/>
      <c r="V19" s="15"/>
      <c r="W19" s="15"/>
      <c r="X19" s="15"/>
      <c r="Y19" s="15"/>
      <c r="Z19" s="15"/>
    </row>
    <row r="20">
      <c r="A20" s="56" t="s">
        <v>30</v>
      </c>
      <c r="B20" s="57" t="s">
        <v>31</v>
      </c>
      <c r="C20" s="39">
        <v>0.0</v>
      </c>
      <c r="D20" s="58">
        <f>(4.2*C20)*C8</f>
        <v>0</v>
      </c>
      <c r="E20" s="59">
        <f t="shared" si="1"/>
        <v>0</v>
      </c>
      <c r="F20" s="15"/>
      <c r="G20" s="15"/>
      <c r="H20" s="15"/>
      <c r="I20" s="15"/>
      <c r="J20" s="15"/>
      <c r="K20" s="15"/>
      <c r="L20" s="15"/>
      <c r="M20" s="15"/>
      <c r="N20" s="15"/>
      <c r="O20" s="15"/>
      <c r="P20" s="15"/>
      <c r="Q20" s="15"/>
      <c r="R20" s="15"/>
      <c r="S20" s="15"/>
      <c r="T20" s="15"/>
      <c r="U20" s="15"/>
      <c r="V20" s="15"/>
      <c r="W20" s="15"/>
      <c r="X20" s="15"/>
      <c r="Y20" s="15"/>
      <c r="Z20" s="15"/>
    </row>
    <row r="21">
      <c r="A21" s="60"/>
      <c r="B21" s="46" t="s">
        <v>32</v>
      </c>
      <c r="C21" s="39">
        <v>0.0</v>
      </c>
      <c r="D21" s="58">
        <f>(4.2*C21)*C8</f>
        <v>0</v>
      </c>
      <c r="E21" s="61">
        <f t="shared" si="1"/>
        <v>0</v>
      </c>
      <c r="F21" s="15"/>
      <c r="G21" s="15"/>
      <c r="H21" s="15"/>
      <c r="I21" s="15"/>
      <c r="J21" s="15"/>
      <c r="K21" s="15"/>
      <c r="L21" s="15"/>
      <c r="M21" s="15"/>
      <c r="N21" s="15"/>
      <c r="O21" s="15"/>
      <c r="P21" s="15"/>
      <c r="Q21" s="15"/>
      <c r="R21" s="15"/>
      <c r="S21" s="15"/>
      <c r="T21" s="15"/>
      <c r="U21" s="15"/>
      <c r="V21" s="15"/>
      <c r="W21" s="15"/>
      <c r="X21" s="15"/>
      <c r="Y21" s="15"/>
      <c r="Z21" s="15"/>
    </row>
    <row r="22">
      <c r="A22" s="60"/>
      <c r="B22" s="57" t="s">
        <v>33</v>
      </c>
      <c r="C22" s="39">
        <v>0.0</v>
      </c>
      <c r="D22" s="58">
        <f>(4.2*C22)*C8</f>
        <v>0</v>
      </c>
      <c r="E22" s="59">
        <f t="shared" si="1"/>
        <v>0</v>
      </c>
      <c r="F22" s="15"/>
      <c r="G22" s="15"/>
      <c r="H22" s="15"/>
      <c r="I22" s="15"/>
      <c r="J22" s="15"/>
      <c r="K22" s="15"/>
      <c r="L22" s="15"/>
      <c r="M22" s="15"/>
      <c r="N22" s="15"/>
      <c r="O22" s="15"/>
      <c r="P22" s="15"/>
      <c r="Q22" s="15"/>
      <c r="R22" s="15"/>
      <c r="S22" s="15"/>
      <c r="T22" s="15"/>
      <c r="U22" s="15"/>
      <c r="V22" s="15"/>
      <c r="W22" s="15"/>
      <c r="X22" s="15"/>
      <c r="Y22" s="15"/>
      <c r="Z22" s="15"/>
    </row>
    <row r="23">
      <c r="A23" s="60"/>
      <c r="B23" s="62" t="s">
        <v>34</v>
      </c>
      <c r="C23" s="39">
        <v>0.0</v>
      </c>
      <c r="D23" s="58">
        <f>(4.2*C23)*C8</f>
        <v>0</v>
      </c>
      <c r="E23" s="61">
        <f t="shared" si="1"/>
        <v>0</v>
      </c>
      <c r="F23" s="15"/>
      <c r="G23" s="15"/>
      <c r="H23" s="15"/>
      <c r="I23" s="15"/>
      <c r="J23" s="15"/>
      <c r="K23" s="15"/>
      <c r="L23" s="15"/>
      <c r="M23" s="15"/>
      <c r="N23" s="15"/>
      <c r="O23" s="15"/>
      <c r="P23" s="15"/>
      <c r="Q23" s="15"/>
      <c r="R23" s="15"/>
      <c r="S23" s="15"/>
      <c r="T23" s="15"/>
      <c r="U23" s="15"/>
      <c r="V23" s="15"/>
      <c r="W23" s="15"/>
      <c r="X23" s="15"/>
      <c r="Y23" s="15"/>
      <c r="Z23" s="15"/>
    </row>
    <row r="24">
      <c r="A24" s="60"/>
      <c r="B24" s="57" t="s">
        <v>35</v>
      </c>
      <c r="C24" s="39">
        <v>0.0</v>
      </c>
      <c r="D24" s="58">
        <f>(4.2*C24)*C8</f>
        <v>0</v>
      </c>
      <c r="E24" s="59">
        <f t="shared" si="1"/>
        <v>0</v>
      </c>
      <c r="F24" s="15"/>
      <c r="G24" s="15"/>
      <c r="H24" s="15"/>
      <c r="I24" s="15"/>
      <c r="J24" s="15"/>
      <c r="K24" s="15"/>
      <c r="L24" s="15"/>
      <c r="M24" s="15"/>
      <c r="N24" s="15"/>
      <c r="O24" s="15"/>
      <c r="P24" s="15"/>
      <c r="Q24" s="15"/>
      <c r="R24" s="15"/>
      <c r="S24" s="15"/>
      <c r="T24" s="15"/>
      <c r="U24" s="15"/>
      <c r="V24" s="15"/>
      <c r="W24" s="15"/>
      <c r="X24" s="15"/>
      <c r="Y24" s="15"/>
      <c r="Z24" s="15"/>
    </row>
    <row r="25">
      <c r="A25" s="60"/>
      <c r="B25" s="62" t="s">
        <v>36</v>
      </c>
      <c r="C25" s="39">
        <v>0.0</v>
      </c>
      <c r="D25" s="58">
        <f>(4.2*C25)*C8</f>
        <v>0</v>
      </c>
      <c r="E25" s="61">
        <f t="shared" si="1"/>
        <v>0</v>
      </c>
      <c r="F25" s="15"/>
      <c r="G25" s="15"/>
      <c r="H25" s="15"/>
      <c r="I25" s="15"/>
      <c r="J25" s="15"/>
      <c r="K25" s="15"/>
      <c r="L25" s="15"/>
      <c r="M25" s="15"/>
      <c r="N25" s="15"/>
      <c r="O25" s="15"/>
      <c r="P25" s="15"/>
      <c r="Q25" s="15"/>
      <c r="R25" s="15"/>
      <c r="S25" s="15"/>
      <c r="T25" s="15"/>
      <c r="U25" s="15"/>
      <c r="V25" s="15"/>
      <c r="W25" s="15"/>
      <c r="X25" s="15"/>
      <c r="Y25" s="15"/>
      <c r="Z25" s="15"/>
    </row>
    <row r="26">
      <c r="A26" s="60"/>
      <c r="B26" s="63" t="s">
        <v>37</v>
      </c>
      <c r="C26" s="39">
        <v>0.0</v>
      </c>
      <c r="D26" s="58">
        <f>(4.2*C26)*C8</f>
        <v>0</v>
      </c>
      <c r="E26" s="59">
        <f t="shared" si="1"/>
        <v>0</v>
      </c>
      <c r="F26" s="15"/>
      <c r="G26" s="15"/>
      <c r="H26" s="15"/>
      <c r="I26" s="15"/>
      <c r="J26" s="15"/>
      <c r="K26" s="15"/>
      <c r="L26" s="15"/>
      <c r="M26" s="15"/>
      <c r="N26" s="15"/>
      <c r="O26" s="15"/>
      <c r="P26" s="15"/>
      <c r="Q26" s="15"/>
      <c r="R26" s="15"/>
      <c r="S26" s="15"/>
      <c r="T26" s="15"/>
      <c r="U26" s="15"/>
      <c r="V26" s="15"/>
      <c r="W26" s="15"/>
      <c r="X26" s="15"/>
      <c r="Y26" s="15"/>
      <c r="Z26" s="15"/>
    </row>
    <row r="27">
      <c r="A27" s="64"/>
      <c r="B27" s="62" t="s">
        <v>38</v>
      </c>
      <c r="C27" s="39">
        <v>0.0</v>
      </c>
      <c r="D27" s="58">
        <f>(4.2*C27)*C8</f>
        <v>0</v>
      </c>
      <c r="E27" s="61">
        <f t="shared" si="1"/>
        <v>0</v>
      </c>
      <c r="F27" s="15"/>
      <c r="G27" s="15"/>
      <c r="H27" s="15"/>
      <c r="I27" s="15"/>
      <c r="J27" s="15"/>
      <c r="K27" s="15"/>
      <c r="L27" s="15"/>
      <c r="M27" s="15"/>
      <c r="N27" s="15"/>
      <c r="O27" s="15"/>
      <c r="P27" s="15"/>
      <c r="Q27" s="15"/>
      <c r="R27" s="15"/>
      <c r="S27" s="15"/>
      <c r="T27" s="15"/>
      <c r="U27" s="15"/>
      <c r="V27" s="15"/>
      <c r="W27" s="15"/>
      <c r="X27" s="15"/>
      <c r="Y27" s="15"/>
      <c r="Z27" s="15"/>
    </row>
    <row r="28">
      <c r="A28" s="65" t="s">
        <v>39</v>
      </c>
      <c r="B28" s="66" t="s">
        <v>40</v>
      </c>
      <c r="C28" s="67">
        <v>0.0</v>
      </c>
      <c r="D28" s="68">
        <f>(4.2*C28)*C8</f>
        <v>0</v>
      </c>
      <c r="E28" s="69">
        <f t="shared" si="1"/>
        <v>0</v>
      </c>
      <c r="F28" s="15"/>
      <c r="G28" s="15"/>
      <c r="H28" s="15"/>
      <c r="I28" s="15"/>
      <c r="J28" s="15"/>
      <c r="K28" s="15"/>
      <c r="L28" s="15"/>
      <c r="M28" s="15"/>
      <c r="N28" s="15"/>
      <c r="O28" s="15"/>
      <c r="P28" s="15"/>
      <c r="Q28" s="15"/>
      <c r="R28" s="15"/>
      <c r="S28" s="15"/>
      <c r="T28" s="15"/>
      <c r="U28" s="15"/>
      <c r="V28" s="15"/>
      <c r="W28" s="15"/>
      <c r="X28" s="15"/>
      <c r="Y28" s="15"/>
      <c r="Z28" s="15"/>
    </row>
    <row r="29">
      <c r="A29" s="42"/>
      <c r="B29" s="57" t="s">
        <v>41</v>
      </c>
      <c r="C29" s="39">
        <v>0.0</v>
      </c>
      <c r="D29" s="70">
        <f>(4.2*C29)*C8</f>
        <v>0</v>
      </c>
      <c r="E29" s="59">
        <f t="shared" si="1"/>
        <v>0</v>
      </c>
      <c r="F29" s="15"/>
      <c r="G29" s="15"/>
      <c r="H29" s="15"/>
      <c r="I29" s="15"/>
      <c r="J29" s="15"/>
      <c r="K29" s="15"/>
      <c r="L29" s="15"/>
      <c r="M29" s="15"/>
      <c r="N29" s="15"/>
      <c r="O29" s="15"/>
      <c r="P29" s="15"/>
      <c r="Q29" s="15"/>
      <c r="R29" s="15"/>
      <c r="S29" s="15"/>
      <c r="T29" s="15"/>
      <c r="U29" s="15"/>
      <c r="V29" s="15"/>
      <c r="W29" s="15"/>
      <c r="X29" s="15"/>
      <c r="Y29" s="15"/>
      <c r="Z29" s="15"/>
    </row>
    <row r="30">
      <c r="A30" s="42"/>
      <c r="B30" s="57" t="s">
        <v>42</v>
      </c>
      <c r="C30" s="39">
        <v>0.0</v>
      </c>
      <c r="D30" s="70">
        <f>(4.2*C30)*C8</f>
        <v>0</v>
      </c>
      <c r="E30" s="59">
        <f t="shared" si="1"/>
        <v>0</v>
      </c>
      <c r="F30" s="15"/>
      <c r="G30" s="15"/>
      <c r="H30" s="15"/>
      <c r="I30" s="15"/>
      <c r="J30" s="15"/>
      <c r="K30" s="15"/>
      <c r="L30" s="15"/>
      <c r="M30" s="15"/>
      <c r="N30" s="15"/>
      <c r="O30" s="15"/>
      <c r="P30" s="15"/>
      <c r="Q30" s="15"/>
      <c r="R30" s="15"/>
      <c r="S30" s="15"/>
      <c r="T30" s="15"/>
      <c r="U30" s="15"/>
      <c r="V30" s="15"/>
      <c r="W30" s="15"/>
      <c r="X30" s="15"/>
      <c r="Y30" s="15"/>
      <c r="Z30" s="15"/>
    </row>
    <row r="31">
      <c r="A31" s="42"/>
      <c r="B31" s="57" t="s">
        <v>43</v>
      </c>
      <c r="C31" s="39">
        <v>0.0</v>
      </c>
      <c r="D31" s="70">
        <f>(4.2*C31)*C8</f>
        <v>0</v>
      </c>
      <c r="E31" s="59">
        <f t="shared" si="1"/>
        <v>0</v>
      </c>
      <c r="F31" s="15"/>
      <c r="G31" s="15"/>
      <c r="H31" s="15"/>
      <c r="I31" s="15"/>
      <c r="J31" s="15"/>
      <c r="K31" s="15"/>
      <c r="L31" s="15"/>
      <c r="M31" s="15"/>
      <c r="N31" s="15"/>
      <c r="O31" s="15"/>
      <c r="P31" s="15"/>
      <c r="Q31" s="15"/>
      <c r="R31" s="15"/>
      <c r="S31" s="15"/>
      <c r="T31" s="15"/>
      <c r="U31" s="15"/>
      <c r="V31" s="15"/>
      <c r="W31" s="15"/>
      <c r="X31" s="15"/>
      <c r="Y31" s="15"/>
      <c r="Z31" s="15"/>
    </row>
    <row r="32">
      <c r="A32" s="42"/>
      <c r="B32" s="57" t="s">
        <v>44</v>
      </c>
      <c r="C32" s="39">
        <v>0.0</v>
      </c>
      <c r="D32" s="70">
        <f>(4.2*C32)*C8</f>
        <v>0</v>
      </c>
      <c r="E32" s="59">
        <f t="shared" si="1"/>
        <v>0</v>
      </c>
      <c r="F32" s="15"/>
      <c r="G32" s="15"/>
      <c r="H32" s="15"/>
      <c r="I32" s="15"/>
      <c r="J32" s="15"/>
      <c r="K32" s="15"/>
      <c r="L32" s="15"/>
      <c r="M32" s="15"/>
      <c r="N32" s="15"/>
      <c r="O32" s="15"/>
      <c r="P32" s="15"/>
      <c r="Q32" s="15"/>
      <c r="R32" s="15"/>
      <c r="S32" s="15"/>
      <c r="T32" s="15"/>
      <c r="U32" s="15"/>
      <c r="V32" s="15"/>
      <c r="W32" s="15"/>
      <c r="X32" s="15"/>
      <c r="Y32" s="15"/>
      <c r="Z32" s="15"/>
    </row>
    <row r="33">
      <c r="A33" s="42"/>
      <c r="B33" s="71" t="s">
        <v>45</v>
      </c>
      <c r="C33" s="39">
        <v>0.0</v>
      </c>
      <c r="D33" s="58">
        <f>(4.2*C33)*C8</f>
        <v>0</v>
      </c>
      <c r="E33" s="59">
        <f t="shared" si="1"/>
        <v>0</v>
      </c>
      <c r="F33" s="15"/>
      <c r="G33" s="15"/>
      <c r="H33" s="15"/>
      <c r="I33" s="15"/>
      <c r="J33" s="15"/>
      <c r="K33" s="15"/>
      <c r="L33" s="15"/>
      <c r="M33" s="15"/>
      <c r="N33" s="15"/>
      <c r="O33" s="15"/>
      <c r="P33" s="15"/>
      <c r="Q33" s="15"/>
      <c r="R33" s="15"/>
      <c r="S33" s="15"/>
      <c r="T33" s="15"/>
      <c r="U33" s="15"/>
      <c r="V33" s="15"/>
      <c r="W33" s="15"/>
      <c r="X33" s="15"/>
      <c r="Y33" s="15"/>
      <c r="Z33" s="15"/>
    </row>
    <row r="34">
      <c r="A34" s="72" t="s">
        <v>46</v>
      </c>
      <c r="B34" s="73" t="s">
        <v>47</v>
      </c>
      <c r="C34" s="67">
        <v>0.0</v>
      </c>
      <c r="D34" s="74">
        <f>(4.2*C34)*C8</f>
        <v>0</v>
      </c>
      <c r="E34" s="75">
        <f t="shared" si="1"/>
        <v>0</v>
      </c>
      <c r="F34" s="15"/>
      <c r="G34" s="15"/>
      <c r="H34" s="15"/>
      <c r="I34" s="15"/>
      <c r="J34" s="15"/>
      <c r="K34" s="15"/>
      <c r="L34" s="15"/>
      <c r="M34" s="15"/>
      <c r="N34" s="15"/>
      <c r="O34" s="15"/>
      <c r="P34" s="15"/>
      <c r="Q34" s="15"/>
      <c r="R34" s="15"/>
      <c r="S34" s="15"/>
      <c r="T34" s="15"/>
      <c r="U34" s="15"/>
      <c r="V34" s="15"/>
      <c r="W34" s="15"/>
      <c r="X34" s="15"/>
      <c r="Y34" s="15"/>
      <c r="Z34" s="15"/>
    </row>
    <row r="35">
      <c r="A35" s="76"/>
      <c r="B35" s="71" t="s">
        <v>48</v>
      </c>
      <c r="C35" s="39">
        <v>0.0</v>
      </c>
      <c r="D35" s="58">
        <f>(4.2*C35)*C8</f>
        <v>0</v>
      </c>
      <c r="E35" s="61">
        <f t="shared" si="1"/>
        <v>0</v>
      </c>
      <c r="F35" s="15"/>
      <c r="G35" s="15"/>
      <c r="H35" s="15"/>
      <c r="I35" s="15"/>
      <c r="J35" s="15"/>
      <c r="K35" s="15"/>
      <c r="L35" s="15"/>
      <c r="M35" s="15"/>
      <c r="N35" s="15"/>
      <c r="O35" s="15"/>
      <c r="P35" s="15"/>
      <c r="Q35" s="15"/>
      <c r="R35" s="15"/>
      <c r="S35" s="15"/>
      <c r="T35" s="15"/>
      <c r="U35" s="15"/>
      <c r="V35" s="15"/>
      <c r="W35" s="15"/>
      <c r="X35" s="15"/>
      <c r="Y35" s="15"/>
      <c r="Z35" s="15"/>
    </row>
    <row r="36">
      <c r="A36" s="76"/>
      <c r="B36" s="63" t="s">
        <v>49</v>
      </c>
      <c r="C36" s="39">
        <v>0.0</v>
      </c>
      <c r="D36" s="44">
        <f>(4.2*C36)*C8</f>
        <v>0</v>
      </c>
      <c r="E36" s="45">
        <f t="shared" si="1"/>
        <v>0</v>
      </c>
      <c r="F36" s="15"/>
      <c r="G36" s="15"/>
      <c r="H36" s="15"/>
      <c r="I36" s="15"/>
      <c r="J36" s="15"/>
      <c r="K36" s="15"/>
      <c r="L36" s="15"/>
      <c r="M36" s="15"/>
      <c r="N36" s="15"/>
      <c r="O36" s="15"/>
      <c r="P36" s="15"/>
      <c r="Q36" s="15"/>
      <c r="R36" s="15"/>
      <c r="S36" s="15"/>
      <c r="T36" s="15"/>
      <c r="U36" s="15"/>
      <c r="V36" s="15"/>
      <c r="W36" s="15"/>
      <c r="X36" s="15"/>
      <c r="Y36" s="15"/>
      <c r="Z36" s="15"/>
    </row>
    <row r="37">
      <c r="A37" s="76"/>
      <c r="B37" s="71" t="s">
        <v>50</v>
      </c>
      <c r="C37" s="39">
        <v>0.0</v>
      </c>
      <c r="D37" s="58">
        <f>(4.2*C37)*C8</f>
        <v>0</v>
      </c>
      <c r="E37" s="61">
        <f t="shared" si="1"/>
        <v>0</v>
      </c>
      <c r="F37" s="15"/>
      <c r="G37" s="15"/>
      <c r="H37" s="15"/>
      <c r="I37" s="15"/>
      <c r="J37" s="15"/>
      <c r="K37" s="15"/>
      <c r="L37" s="15"/>
      <c r="M37" s="15"/>
      <c r="N37" s="15"/>
      <c r="O37" s="15"/>
      <c r="P37" s="15"/>
      <c r="Q37" s="15"/>
      <c r="R37" s="15"/>
      <c r="S37" s="15"/>
      <c r="T37" s="15"/>
      <c r="U37" s="15"/>
      <c r="V37" s="15"/>
      <c r="W37" s="15"/>
      <c r="X37" s="15"/>
      <c r="Y37" s="15"/>
      <c r="Z37" s="15"/>
    </row>
    <row r="38">
      <c r="A38" s="77"/>
      <c r="B38" s="63" t="s">
        <v>51</v>
      </c>
      <c r="C38" s="39">
        <v>0.0</v>
      </c>
      <c r="D38" s="44">
        <f>(4.2*C38)*C8</f>
        <v>0</v>
      </c>
      <c r="E38" s="45">
        <f t="shared" si="1"/>
        <v>0</v>
      </c>
      <c r="F38" s="15"/>
      <c r="G38" s="15"/>
      <c r="H38" s="15"/>
      <c r="I38" s="15"/>
      <c r="J38" s="15"/>
      <c r="K38" s="15"/>
      <c r="L38" s="15"/>
      <c r="M38" s="15"/>
      <c r="N38" s="15"/>
      <c r="O38" s="15"/>
      <c r="P38" s="15"/>
      <c r="Q38" s="15"/>
      <c r="R38" s="15"/>
      <c r="S38" s="15"/>
      <c r="T38" s="15"/>
      <c r="U38" s="15"/>
      <c r="V38" s="15"/>
      <c r="W38" s="15"/>
      <c r="X38" s="15"/>
      <c r="Y38" s="15"/>
      <c r="Z38" s="15"/>
    </row>
    <row r="39">
      <c r="A39" s="78" t="s">
        <v>52</v>
      </c>
      <c r="B39" s="73" t="s">
        <v>53</v>
      </c>
      <c r="C39" s="67">
        <v>0.0</v>
      </c>
      <c r="D39" s="79">
        <f>(4.2*C39)*C8</f>
        <v>0</v>
      </c>
      <c r="E39" s="80">
        <f t="shared" si="1"/>
        <v>0</v>
      </c>
      <c r="F39" s="15"/>
      <c r="G39" s="15"/>
      <c r="H39" s="15"/>
      <c r="I39" s="15"/>
      <c r="J39" s="15"/>
      <c r="K39" s="15"/>
      <c r="L39" s="15"/>
      <c r="M39" s="15"/>
      <c r="N39" s="15"/>
      <c r="O39" s="15"/>
      <c r="P39" s="15"/>
      <c r="Q39" s="15"/>
      <c r="R39" s="15"/>
      <c r="S39" s="15"/>
      <c r="T39" s="15"/>
      <c r="U39" s="15"/>
      <c r="V39" s="15"/>
      <c r="W39" s="15"/>
      <c r="X39" s="15"/>
      <c r="Y39" s="15"/>
      <c r="Z39" s="15"/>
    </row>
    <row r="40">
      <c r="A40" s="42"/>
      <c r="B40" s="71" t="s">
        <v>54</v>
      </c>
      <c r="C40" s="39">
        <v>0.0</v>
      </c>
      <c r="D40" s="58">
        <f>(4.2*C40)*C8</f>
        <v>0</v>
      </c>
      <c r="E40" s="59">
        <f t="shared" si="1"/>
        <v>0</v>
      </c>
      <c r="F40" s="15"/>
      <c r="G40" s="15"/>
      <c r="H40" s="15"/>
      <c r="I40" s="15"/>
      <c r="J40" s="15"/>
      <c r="K40" s="15"/>
      <c r="L40" s="15"/>
      <c r="M40" s="15"/>
      <c r="N40" s="15"/>
      <c r="O40" s="15"/>
      <c r="P40" s="15"/>
      <c r="Q40" s="15"/>
      <c r="R40" s="15"/>
      <c r="S40" s="15"/>
      <c r="T40" s="15"/>
      <c r="U40" s="15"/>
      <c r="V40" s="15"/>
      <c r="W40" s="15"/>
      <c r="X40" s="15"/>
      <c r="Y40" s="15"/>
      <c r="Z40" s="15"/>
    </row>
    <row r="41">
      <c r="A41" s="42"/>
      <c r="B41" s="63" t="s">
        <v>37</v>
      </c>
      <c r="C41" s="39">
        <v>0.0</v>
      </c>
      <c r="D41" s="58">
        <f>(4.2*C41)*C8</f>
        <v>0</v>
      </c>
      <c r="E41" s="61">
        <f t="shared" si="1"/>
        <v>0</v>
      </c>
      <c r="F41" s="15"/>
      <c r="G41" s="15"/>
      <c r="H41" s="15"/>
      <c r="I41" s="15"/>
      <c r="J41" s="15"/>
      <c r="K41" s="15"/>
      <c r="L41" s="15"/>
      <c r="M41" s="15"/>
      <c r="N41" s="15"/>
      <c r="O41" s="15"/>
      <c r="P41" s="15"/>
      <c r="Q41" s="15"/>
      <c r="R41" s="15"/>
      <c r="S41" s="15"/>
      <c r="T41" s="15"/>
      <c r="U41" s="15"/>
      <c r="V41" s="15"/>
      <c r="W41" s="15"/>
      <c r="X41" s="15"/>
      <c r="Y41" s="15"/>
      <c r="Z41" s="15"/>
    </row>
    <row r="42">
      <c r="A42" s="42"/>
      <c r="B42" s="71" t="s">
        <v>55</v>
      </c>
      <c r="C42" s="39">
        <v>0.0</v>
      </c>
      <c r="D42" s="58">
        <f>(4.2*C42)*C8</f>
        <v>0</v>
      </c>
      <c r="E42" s="59">
        <f t="shared" si="1"/>
        <v>0</v>
      </c>
      <c r="F42" s="15"/>
      <c r="G42" s="15"/>
      <c r="H42" s="15"/>
      <c r="I42" s="15"/>
      <c r="J42" s="15"/>
      <c r="K42" s="15"/>
      <c r="L42" s="15"/>
      <c r="M42" s="15"/>
      <c r="N42" s="15"/>
      <c r="O42" s="15"/>
      <c r="P42" s="15"/>
      <c r="Q42" s="15"/>
      <c r="R42" s="15"/>
      <c r="S42" s="15"/>
      <c r="T42" s="15"/>
      <c r="U42" s="15"/>
      <c r="V42" s="15"/>
      <c r="W42" s="15"/>
      <c r="X42" s="15"/>
      <c r="Y42" s="15"/>
      <c r="Z42" s="15"/>
    </row>
    <row r="43">
      <c r="A43" s="42"/>
      <c r="B43" s="63" t="s">
        <v>56</v>
      </c>
      <c r="C43" s="39">
        <v>0.0</v>
      </c>
      <c r="D43" s="58">
        <f>(4.2*C43)*C8</f>
        <v>0</v>
      </c>
      <c r="E43" s="61">
        <f t="shared" si="1"/>
        <v>0</v>
      </c>
      <c r="F43" s="15"/>
      <c r="G43" s="15"/>
      <c r="H43" s="15"/>
      <c r="I43" s="15"/>
      <c r="J43" s="15"/>
      <c r="K43" s="15"/>
      <c r="L43" s="15"/>
      <c r="M43" s="15"/>
      <c r="N43" s="15"/>
      <c r="O43" s="15"/>
      <c r="P43" s="15"/>
      <c r="Q43" s="15"/>
      <c r="R43" s="15"/>
      <c r="S43" s="15"/>
      <c r="T43" s="15"/>
      <c r="U43" s="15"/>
      <c r="V43" s="15"/>
      <c r="W43" s="15"/>
      <c r="X43" s="15"/>
      <c r="Y43" s="15"/>
      <c r="Z43" s="15"/>
    </row>
    <row r="44">
      <c r="A44" s="81"/>
      <c r="B44" s="82" t="s">
        <v>57</v>
      </c>
      <c r="C44" s="83">
        <v>0.0</v>
      </c>
      <c r="D44" s="84">
        <f>(4.2*C44)*C8</f>
        <v>0</v>
      </c>
      <c r="E44" s="85">
        <f t="shared" si="1"/>
        <v>0</v>
      </c>
      <c r="F44" s="15"/>
      <c r="G44" s="15"/>
      <c r="H44" s="15"/>
      <c r="I44" s="15"/>
      <c r="J44" s="15"/>
      <c r="K44" s="15"/>
      <c r="L44" s="15"/>
      <c r="M44" s="15"/>
      <c r="N44" s="15"/>
      <c r="O44" s="15"/>
      <c r="P44" s="15"/>
      <c r="Q44" s="15"/>
      <c r="R44" s="15"/>
      <c r="S44" s="15"/>
      <c r="T44" s="15"/>
      <c r="U44" s="15"/>
      <c r="V44" s="15"/>
      <c r="W44" s="15"/>
      <c r="X44" s="15"/>
      <c r="Y44" s="15"/>
      <c r="Z44" s="15"/>
    </row>
    <row r="45">
      <c r="A45" s="15"/>
      <c r="B45" s="86"/>
      <c r="C45" s="87"/>
      <c r="D45" s="88"/>
      <c r="E45" s="88"/>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89"/>
      <c r="C47" s="90"/>
      <c r="D47" s="89"/>
      <c r="E47" s="91"/>
      <c r="F47" s="15"/>
      <c r="G47" s="15"/>
      <c r="H47" s="15"/>
      <c r="I47" s="15"/>
      <c r="J47" s="15"/>
      <c r="K47" s="15"/>
      <c r="L47" s="15"/>
      <c r="M47" s="15"/>
      <c r="N47" s="15"/>
      <c r="O47" s="15"/>
      <c r="P47" s="15"/>
      <c r="Q47" s="15"/>
      <c r="R47" s="15"/>
      <c r="S47" s="15"/>
      <c r="T47" s="15"/>
      <c r="U47" s="15"/>
      <c r="V47" s="15"/>
      <c r="W47" s="15"/>
      <c r="X47" s="15"/>
      <c r="Y47" s="15"/>
      <c r="Z47" s="15"/>
    </row>
    <row r="48" ht="33.75" customHeight="1">
      <c r="A48" s="25"/>
      <c r="B48" s="92" t="s">
        <v>58</v>
      </c>
      <c r="C48" s="93">
        <f>SUM(E20:E44)</f>
        <v>0</v>
      </c>
      <c r="D48" s="94">
        <f>SUM(D11:D44)</f>
        <v>0</v>
      </c>
      <c r="E48" s="95"/>
      <c r="F48" s="15"/>
      <c r="G48" s="15"/>
      <c r="H48" s="15"/>
      <c r="I48" s="15"/>
      <c r="J48" s="15"/>
      <c r="K48" s="15"/>
      <c r="L48" s="15"/>
      <c r="M48" s="15"/>
      <c r="N48" s="15"/>
      <c r="O48" s="15"/>
      <c r="P48" s="15"/>
      <c r="Q48" s="15"/>
      <c r="R48" s="15"/>
      <c r="S48" s="15"/>
      <c r="T48" s="15"/>
      <c r="U48" s="15"/>
      <c r="V48" s="15"/>
      <c r="W48" s="15"/>
      <c r="X48" s="15"/>
      <c r="Y48" s="15"/>
      <c r="Z48" s="15"/>
    </row>
    <row r="49" ht="8.25" customHeight="1">
      <c r="A49" s="15"/>
      <c r="B49" s="96"/>
      <c r="C49" s="96"/>
      <c r="D49" s="15"/>
      <c r="E49" s="15"/>
      <c r="F49" s="15"/>
      <c r="G49" s="15"/>
      <c r="H49" s="15"/>
      <c r="I49" s="15"/>
      <c r="J49" s="15"/>
      <c r="K49" s="15"/>
      <c r="L49" s="15"/>
      <c r="M49" s="15"/>
      <c r="N49" s="15"/>
      <c r="O49" s="15"/>
      <c r="P49" s="15"/>
      <c r="Q49" s="15"/>
      <c r="R49" s="15"/>
      <c r="S49" s="15"/>
      <c r="T49" s="15"/>
      <c r="U49" s="15"/>
      <c r="V49" s="15"/>
      <c r="W49" s="15"/>
      <c r="X49" s="15"/>
      <c r="Y49" s="15"/>
      <c r="Z49" s="15"/>
    </row>
    <row r="50" ht="31.5" customHeight="1">
      <c r="A50" s="15"/>
      <c r="B50" s="92" t="s">
        <v>59</v>
      </c>
      <c r="C50" s="97">
        <f>SUM(D20:D44)</f>
        <v>0</v>
      </c>
      <c r="D50" s="15"/>
      <c r="E50" s="15"/>
      <c r="F50" s="15"/>
      <c r="G50" s="15"/>
      <c r="H50" s="15"/>
      <c r="I50" s="15"/>
      <c r="J50" s="15"/>
      <c r="K50" s="15"/>
      <c r="L50" s="15"/>
      <c r="M50" s="15"/>
      <c r="N50" s="15"/>
      <c r="O50" s="15"/>
      <c r="P50" s="15"/>
      <c r="Q50" s="15"/>
      <c r="R50" s="15"/>
      <c r="S50" s="15"/>
      <c r="T50" s="15"/>
      <c r="U50" s="15"/>
      <c r="V50" s="15"/>
      <c r="W50" s="15"/>
      <c r="X50" s="15"/>
      <c r="Y50" s="15"/>
      <c r="Z50" s="15"/>
    </row>
    <row r="51" ht="8.2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30.75" customHeight="1">
      <c r="A52" s="15"/>
      <c r="B52" s="92" t="s">
        <v>60</v>
      </c>
      <c r="C52" s="97">
        <f>SUM(D20:D44)*12</f>
        <v>0</v>
      </c>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90.75" customHeight="1">
      <c r="A55" s="98" t="s">
        <v>61</v>
      </c>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row>
    <row r="1007">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row>
    <row r="1008">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row>
    <row r="1009">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row>
    <row r="1010">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row>
    <row r="1011">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row>
    <row r="1012">
      <c r="A1012" s="1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row>
    <row r="1013">
      <c r="A1013" s="1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row>
    <row r="1014">
      <c r="A1014" s="1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row>
    <row r="1015">
      <c r="A1015" s="1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row>
    <row r="1016">
      <c r="A1016" s="15"/>
      <c r="B1016" s="15"/>
      <c r="C1016" s="15"/>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row>
    <row r="1017">
      <c r="A1017" s="15"/>
      <c r="B1017" s="15"/>
      <c r="C1017" s="15"/>
      <c r="D1017" s="15"/>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row>
    <row r="1018">
      <c r="A1018" s="15"/>
      <c r="B1018" s="15"/>
      <c r="C1018" s="15"/>
      <c r="D1018" s="15"/>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row>
    <row r="1019">
      <c r="A1019" s="15"/>
      <c r="B1019" s="15"/>
      <c r="C1019" s="15"/>
      <c r="D1019" s="15"/>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row>
    <row r="1020">
      <c r="A1020" s="15"/>
      <c r="B1020" s="15"/>
      <c r="C1020" s="15"/>
      <c r="D1020" s="15"/>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row>
    <row r="1021">
      <c r="A1021" s="15"/>
      <c r="B1021" s="15"/>
      <c r="C1021" s="15"/>
      <c r="D1021" s="15"/>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row>
    <row r="1022">
      <c r="A1022" s="15"/>
      <c r="B1022" s="15"/>
      <c r="C1022" s="15"/>
      <c r="D1022" s="15"/>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row>
    <row r="1023">
      <c r="A1023" s="15"/>
      <c r="B1023" s="15"/>
      <c r="C1023" s="15"/>
      <c r="D1023" s="15"/>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row>
    <row r="1024">
      <c r="A1024" s="15"/>
      <c r="B1024" s="15"/>
      <c r="C1024" s="15"/>
      <c r="D1024" s="15"/>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row>
  </sheetData>
  <mergeCells count="13">
    <mergeCell ref="A11:A19"/>
    <mergeCell ref="A20:A27"/>
    <mergeCell ref="A28:A33"/>
    <mergeCell ref="A34:A38"/>
    <mergeCell ref="A39:A44"/>
    <mergeCell ref="A55:E55"/>
    <mergeCell ref="A1:E1"/>
    <mergeCell ref="A2:E2"/>
    <mergeCell ref="A3:E3"/>
    <mergeCell ref="A6:B6"/>
    <mergeCell ref="A7:B7"/>
    <mergeCell ref="A8:B8"/>
    <mergeCell ref="A10:B10"/>
  </mergeCells>
  <conditionalFormatting sqref="C48">
    <cfRule type="cellIs" dxfId="4" priority="1" operator="lessThan">
      <formula>30</formula>
    </cfRule>
  </conditionalFormatting>
  <conditionalFormatting sqref="C48">
    <cfRule type="cellIs" dxfId="5" priority="2" operator="between">
      <formula>31</formula>
      <formula>45</formula>
    </cfRule>
  </conditionalFormatting>
  <conditionalFormatting sqref="C48">
    <cfRule type="cellIs" dxfId="6" priority="3" operator="between">
      <formula>46</formula>
      <formula>55</formula>
    </cfRule>
  </conditionalFormatting>
  <conditionalFormatting sqref="C48">
    <cfRule type="cellIs" dxfId="7" priority="4" operator="greaterThan">
      <formula>55</formula>
    </cfRule>
  </conditionalFormatting>
  <conditionalFormatting sqref="C50">
    <cfRule type="cellIs" dxfId="4" priority="5" operator="lessThanOrEqual">
      <formula>1000</formula>
    </cfRule>
  </conditionalFormatting>
  <conditionalFormatting sqref="C50">
    <cfRule type="cellIs" dxfId="5" priority="6" operator="between">
      <formula>1001</formula>
      <formula>2000</formula>
    </cfRule>
  </conditionalFormatting>
  <conditionalFormatting sqref="C50">
    <cfRule type="cellIs" dxfId="6" priority="7" operator="between">
      <formula>2001</formula>
      <formula>3500</formula>
    </cfRule>
  </conditionalFormatting>
  <conditionalFormatting sqref="C50">
    <cfRule type="cellIs" dxfId="7" priority="8" operator="greaterThanOrEqual">
      <formula>3501</formula>
    </cfRule>
  </conditionalFormatting>
  <conditionalFormatting sqref="C52">
    <cfRule type="cellIs" dxfId="4" priority="9" operator="lessThanOrEqual">
      <formula>12000</formula>
    </cfRule>
  </conditionalFormatting>
  <conditionalFormatting sqref="C52">
    <cfRule type="cellIs" dxfId="5" priority="10" operator="between">
      <formula>12001</formula>
      <formula>2400</formula>
    </cfRule>
  </conditionalFormatting>
  <conditionalFormatting sqref="C52">
    <cfRule type="cellIs" dxfId="6" priority="11" operator="between">
      <formula>24001</formula>
      <formula>42000</formula>
    </cfRule>
  </conditionalFormatting>
  <conditionalFormatting sqref="C52">
    <cfRule type="cellIs" dxfId="7" priority="12" operator="greaterThanOrEqual">
      <formula>42001</formula>
    </cfRule>
  </conditionalFormatting>
  <hyperlinks>
    <hyperlink r:id="rId2" ref="A55"/>
  </hyperlinks>
  <drawing r:id="rId3"/>
  <legacyDrawing r:id="rId4"/>
  <tableParts count="3">
    <tablePart r:id="rId8"/>
    <tablePart r:id="rId9"/>
    <tablePart r:id="rId1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14.13"/>
    <col customWidth="1" min="3" max="3" width="24.25"/>
  </cols>
  <sheetData>
    <row r="1" ht="45.75" customHeight="1">
      <c r="A1" s="99"/>
      <c r="B1" s="99"/>
      <c r="C1" s="99"/>
      <c r="D1" s="100"/>
    </row>
    <row r="2" ht="22.5" customHeight="1">
      <c r="A2" s="101"/>
    </row>
    <row r="3" ht="22.5" customHeight="1">
      <c r="A3" s="102" t="s">
        <v>62</v>
      </c>
      <c r="C3" s="102" t="s">
        <v>63</v>
      </c>
    </row>
    <row r="4">
      <c r="A4" s="103" t="s">
        <v>64</v>
      </c>
      <c r="C4" s="104" t="s">
        <v>65</v>
      </c>
    </row>
    <row r="5">
      <c r="A5" s="105" t="s">
        <v>66</v>
      </c>
      <c r="C5" s="105" t="s">
        <v>67</v>
      </c>
    </row>
    <row r="6">
      <c r="A6" s="106" t="s">
        <v>68</v>
      </c>
      <c r="C6" s="106" t="s">
        <v>69</v>
      </c>
    </row>
    <row r="7">
      <c r="A7" s="107" t="s">
        <v>70</v>
      </c>
      <c r="C7" s="107" t="s">
        <v>71</v>
      </c>
    </row>
    <row r="8">
      <c r="A8" s="108"/>
    </row>
    <row r="9">
      <c r="A9" s="108"/>
    </row>
    <row r="10" ht="23.25" customHeight="1"/>
  </sheetData>
  <drawing r:id="rId1"/>
</worksheet>
</file>